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Informe" sheetId="2" state="visible" r:id="rId2"/>
    <sheet xmlns:r="http://schemas.openxmlformats.org/officeDocument/2006/relationships" name="Exposición y defensa" sheetId="3" state="visible" r:id="rId3"/>
    <sheet xmlns:r="http://schemas.openxmlformats.org/officeDocument/2006/relationships" name="Oral – proyecto" sheetId="4" state="visible" r:id="rId4"/>
    <sheet xmlns:r="http://schemas.openxmlformats.org/officeDocument/2006/relationships" name="Examen final – informe" sheetId="5" state="visible" r:id="rId5"/>
    <sheet xmlns:r="http://schemas.openxmlformats.org/officeDocument/2006/relationships" name="Examen final – oral" sheetId="6" state="visible" r:id="rId6"/>
    <sheet xmlns:r="http://schemas.openxmlformats.org/officeDocument/2006/relationships" name="Coevaluación 360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sz val="10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9"/>
    </font>
    <font>
      <name val="Arial"/>
      <charset val="1"/>
      <family val="0"/>
      <b val="1"/>
      <color rgb="FF0000FF"/>
      <sz val="11"/>
    </font>
    <font>
      <name val="Arial"/>
      <charset val="1"/>
      <family val="0"/>
      <i val="1"/>
      <sz val="9"/>
    </font>
    <font>
      <b val="1"/>
      <sz val="14"/>
    </font>
    <font>
      <sz val="9"/>
    </font>
    <font>
      <b val="1"/>
      <sz val="11"/>
    </font>
    <font>
      <b val="1"/>
      <color rgb="00FFFFFF"/>
      <sz val="11"/>
    </font>
    <font>
      <sz val="11"/>
    </font>
  </fonts>
  <fills count="7">
    <fill>
      <patternFill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2E5496"/>
        <bgColor rgb="FF666699"/>
      </patternFill>
    </fill>
    <fill>
      <patternFill patternType="solid">
        <fgColor rgb="FFDEEAF6"/>
        <bgColor rgb="FFCCFFFF"/>
      </patternFill>
    </fill>
    <fill>
      <patternFill patternType="solid">
        <fgColor rgb="002E5496"/>
      </patternFill>
    </fill>
    <fill>
      <patternFill patternType="solid">
        <fgColor rgb="00DEEAF6"/>
      </patternFill>
    </fill>
  </fills>
  <borders count="7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/>
      <diagonal/>
    </border>
    <border>
      <left/>
      <right style="thin">
        <color rgb="FFBBBBBB"/>
      </right>
      <top style="thin">
        <color rgb="FFBBBBBB"/>
      </top>
      <bottom/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9" fontId="7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general" vertical="top" wrapText="1"/>
    </xf>
    <xf numFmtId="0" fontId="10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2" fillId="0" borderId="0" pivotButton="0" quotePrefix="0" xfId="0"/>
    <xf numFmtId="0" fontId="13" fillId="0" borderId="0" applyAlignment="1" pivotButton="0" quotePrefix="0" xfId="0">
      <alignment vertical="center" wrapText="1"/>
    </xf>
    <xf numFmtId="0" fontId="14" fillId="0" borderId="0" pivotButton="0" quotePrefix="0" xfId="0"/>
    <xf numFmtId="0" fontId="15" fillId="5" borderId="6" applyAlignment="1" pivotButton="0" quotePrefix="0" xfId="0">
      <alignment horizontal="center" vertical="center" wrapText="1"/>
    </xf>
    <xf numFmtId="0" fontId="14" fillId="0" borderId="6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0" fillId="0" borderId="6" applyAlignment="1" pivotButton="0" quotePrefix="0" xfId="0">
      <alignment horizontal="center" vertical="center" wrapText="1"/>
    </xf>
    <xf numFmtId="0" fontId="14" fillId="6" borderId="6" applyAlignment="1" pivotButton="0" quotePrefix="0" xfId="0">
      <alignment horizontal="center" vertical="center" wrapText="1"/>
    </xf>
    <xf numFmtId="0" fontId="14" fillId="0" borderId="6" applyAlignment="1" pivotButton="0" quotePrefix="0" xfId="0">
      <alignment horizontal="center" vertical="center" wrapText="1"/>
    </xf>
    <xf numFmtId="0" fontId="13" fillId="0" borderId="0" applyAlignment="1" pivotButton="0" quotePrefix="0" xfId="0">
      <alignment vertical="top" wrapText="1"/>
    </xf>
    <xf numFmtId="0" fontId="0" fillId="2" borderId="1" applyAlignment="1" pivotButton="0" quotePrefix="0" xfId="0">
      <alignment horizontal="general" vertical="bottom"/>
    </xf>
    <xf numFmtId="0" fontId="0" fillId="0" borderId="4" pivotButton="0" quotePrefix="0" xfId="0"/>
    <xf numFmtId="0" fontId="0" fillId="0" borderId="5" pivotButton="0" quotePrefix="0" xfId="0"/>
    <xf numFmtId="0" fontId="8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9" fontId="7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general" vertical="top" wrapText="1"/>
    </xf>
    <xf numFmtId="0" fontId="10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general" vertical="top" wrapText="1"/>
    </xf>
    <xf numFmtId="0" fontId="0" fillId="0" borderId="6" applyAlignment="1" pivotButton="0" quotePrefix="0" xfId="0">
      <alignment vertical="center" wrapText="1"/>
    </xf>
    <xf numFmtId="0" fontId="16" fillId="0" borderId="6" applyAlignment="1" pivotButton="0" quotePrefix="0" xfId="0">
      <alignment vertical="top" wrapText="1"/>
    </xf>
    <xf numFmtId="0" fontId="16" fillId="0" borderId="6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DEEA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1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90" customWidth="1" style="16" min="1" max="1"/>
  </cols>
  <sheetData>
    <row r="1" ht="17.35" customHeight="1" s="17">
      <c r="A1" s="18" t="inlineStr">
        <is>
          <t>Rúbricas de calificación · GLM con R</t>
        </is>
      </c>
    </row>
    <row r="3" ht="15" customHeight="1" s="17">
      <c r="A3" s="19" t="inlineStr">
        <is>
          <t>Cada hoja contiene una rúbrica en escala 0–3 (0 Suspenso · 1 Recuperable · 2 Notable · 3 Excelente). Nota/10 = (Σ peso·punt)/3×10. Mínimo por prueba: 3,5/10.</t>
        </is>
      </c>
    </row>
    <row r="5" ht="15" customHeight="1" s="17">
      <c r="A5" s="20" t="inlineStr">
        <is>
          <t>Rúbricas incluidas:</t>
        </is>
      </c>
    </row>
    <row r="6" ht="15" customHeight="1" s="17">
      <c r="A6" s="21" t="inlineStr">
        <is>
          <t>• Informe (P, grupal) — 5 criterios (20/20/30/20/10)</t>
        </is>
      </c>
    </row>
    <row r="7">
      <c r="A7" s="16" t="inlineStr">
        <is>
          <t>• Exposición y defensa (P, grupal) — 50 % del proyecto</t>
        </is>
      </c>
    </row>
    <row r="8">
      <c r="A8" s="16" t="inlineStr">
        <is>
          <t>• Examen oral del proyecto (individual) — 3 bloques (40/35/25)</t>
        </is>
      </c>
    </row>
    <row r="9">
      <c r="A9" s="16" t="inlineStr">
        <is>
          <t>• Examen final – informe (50 %) — 4 criterios (35/25/20/20)</t>
        </is>
      </c>
    </row>
    <row r="10">
      <c r="A10" t="inlineStr">
        <is>
          <t>• Examen final – oral (50 %) — 3 criterios (40/35/25)</t>
        </is>
      </c>
    </row>
    <row r="11">
      <c r="A11" t="inlineStr">
        <is>
          <t>• Coevaluación 360 → factor individual w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30" customWidth="1" style="17" min="1" max="1"/>
    <col width="34" customWidth="1" style="17" min="2" max="2"/>
    <col width="8" customWidth="1" style="17" min="3" max="3"/>
    <col width="26" customWidth="1" style="17" min="4" max="4"/>
    <col width="26" customWidth="1" style="17" min="5" max="5"/>
    <col width="26" customWidth="1" style="17" min="6" max="6"/>
    <col width="28" customWidth="1" style="17" min="7" max="7"/>
    <col width="11" customWidth="1" style="17" min="8" max="8"/>
  </cols>
  <sheetData>
    <row r="1">
      <c r="A1" s="22" t="inlineStr">
        <is>
          <t>Informe</t>
        </is>
      </c>
    </row>
    <row r="2">
      <c r="A2" s="23" t="inlineStr">
        <is>
          <t>Escala por criterio: 0 Suspenso · 1 Recuperable · 2 Notable · 3 Excelente.</t>
        </is>
      </c>
    </row>
    <row r="3">
      <c r="A3" s="24" t="inlineStr">
        <is>
          <t>Estudiante / Grupo:</t>
        </is>
      </c>
      <c r="E3" s="24" t="inlineStr">
        <is>
          <t>Caso / Proyecto:</t>
        </is>
      </c>
    </row>
    <row r="4">
      <c r="A4" s="24" t="inlineStr">
        <is>
          <t>Fecha:</t>
        </is>
      </c>
      <c r="E4" s="24" t="inlineStr">
        <is>
          <t>Evaluador/a:</t>
        </is>
      </c>
    </row>
    <row r="6">
      <c r="A6" s="25" t="inlineStr">
        <is>
          <t>Criterio</t>
        </is>
      </c>
      <c r="B6" s="25" t="inlineStr">
        <is>
          <t>Qué se valora</t>
        </is>
      </c>
      <c r="C6" s="25" t="inlineStr">
        <is>
          <t>Peso</t>
        </is>
      </c>
      <c r="D6" s="25" t="inlineStr">
        <is>
          <t>0 · Suspenso</t>
        </is>
      </c>
      <c r="E6" s="25" t="inlineStr">
        <is>
          <t>1 · Recuperable</t>
        </is>
      </c>
      <c r="F6" s="25" t="inlineStr">
        <is>
          <t>2 · Notable</t>
        </is>
      </c>
      <c r="G6" s="25" t="inlineStr">
        <is>
          <t>3 · Excelente</t>
        </is>
      </c>
      <c r="H6" s="25" t="inlineStr">
        <is>
          <t>Punt. (0–3)</t>
        </is>
      </c>
    </row>
    <row r="7">
      <c r="A7" s="26" t="inlineStr">
        <is>
          <t>Problema, audiencia y objetivos</t>
        </is>
      </c>
      <c r="B7" s="44" t="inlineStr">
        <is>
          <t>Concreción del problema, ajuste a la audiencia y objetivos de la tipología de informe.</t>
        </is>
      </c>
      <c r="C7" s="45" t="n">
        <v>0.2</v>
      </c>
      <c r="D7" s="44" t="inlineStr">
        <is>
          <t>Problema u objetivos ausentes o confusos; no atiende a la audiencia.</t>
        </is>
      </c>
      <c r="E7" s="44" t="inlineStr">
        <is>
          <t>Problema y objetivos esbozados, con imprecisiones o desajuste con la audiencia.</t>
        </is>
      </c>
      <c r="F7" s="44" t="inlineStr">
        <is>
          <t>Problema y objetivos claros y adecuados a la audiencia, con algún matiz mejorable.</t>
        </is>
      </c>
      <c r="G7" s="44" t="inlineStr">
        <is>
          <t>Problema bien delimitado, objetivos precisos y enfoque plenamente ajustado a la audiencia.</t>
        </is>
      </c>
      <c r="H7" s="45" t="n"/>
    </row>
    <row r="8">
      <c r="A8" s="26" t="inlineStr">
        <is>
          <t>Datos, método y reproducibilidad</t>
        </is>
      </c>
      <c r="B8" s="44" t="inlineStr">
        <is>
          <t>Descripción de datos, elección de familia/enlace y código reproducible.</t>
        </is>
      </c>
      <c r="C8" s="45" t="n">
        <v>0.2</v>
      </c>
      <c r="D8" s="44" t="inlineStr">
        <is>
          <t>Datos o método mal descritos; no reproducible.</t>
        </is>
      </c>
      <c r="E8" s="44" t="inlineStr">
        <is>
          <t>Descripción parcial; reproducibilidad limitada o con lagunas.</t>
        </is>
      </c>
      <c r="F8" s="44" t="inlineStr">
        <is>
          <t>Datos y método correctos y reproducibles, con detalles menores por pulir.</t>
        </is>
      </c>
      <c r="G8" s="44" t="inlineStr">
        <is>
          <t>Datos y método rigurosos, decisiones justificadas y pipeline plenamente reproducible.</t>
        </is>
      </c>
      <c r="H8" s="45" t="n"/>
    </row>
    <row r="9">
      <c r="A9" s="26" t="inlineStr">
        <is>
          <t>Resultados, visualización e interpretación</t>
        </is>
      </c>
      <c r="B9" s="44" t="inlineStr">
        <is>
          <t>Adecuación de resultados, calidad de las figuras e interpretación en la escala correcta.</t>
        </is>
      </c>
      <c r="C9" s="45" t="n">
        <v>0.3</v>
      </c>
      <c r="D9" s="44" t="inlineStr">
        <is>
          <t>Resultados erróneos o sin interpretar; visualización inadecuada.</t>
        </is>
      </c>
      <c r="E9" s="44" t="inlineStr">
        <is>
          <t>Resultados básicos con interpretación superficial o en escala incorrecta.</t>
        </is>
      </c>
      <c r="F9" s="44" t="inlineStr">
        <is>
          <t>Resultados correctos, bien visualizados e interpretados con prudencia, con algún matiz.</t>
        </is>
      </c>
      <c r="G9" s="44" t="inlineStr">
        <is>
          <t>Resultados sólidos, visualización excelente e interpretación precisa (OR/IRR/efectos) con incertidumbre y límites.</t>
        </is>
      </c>
      <c r="H9" s="45" t="n"/>
    </row>
    <row r="10">
      <c r="A10" s="26" t="inlineStr">
        <is>
          <t>Redacción, formato y referencias (APA 7)</t>
        </is>
      </c>
      <c r="B10" s="44" t="inlineStr">
        <is>
          <t>Claridad de la redacción, respeto de la plantilla estandarizada, formateado de figuras y tablas, y citas y referencias en APA 7.</t>
        </is>
      </c>
      <c r="C10" s="45" t="n">
        <v>0.2</v>
      </c>
      <c r="D10" s="44" t="inlineStr">
        <is>
          <t>Redacción deficiente; no respeta la plantilla; figuras/tablas sin formato; sin citas APA.</t>
        </is>
      </c>
      <c r="E10" s="44" t="inlineStr">
        <is>
          <t>Redacción mejorable; cumple la plantilla a medias; figuras/tablas o citas con fallos frecuentes.</t>
        </is>
      </c>
      <c r="F10" s="44" t="inlineStr">
        <is>
          <t>Redacción clara y plantilla respetada; figuras, tablas y citas correctas con descuidos menores.</t>
        </is>
      </c>
      <c r="G10" s="44" t="inlineStr">
        <is>
          <t>Redacción excelente; plantilla y formato de figuras/tablas impecables; citas y referencias APA 7 sin errores.</t>
        </is>
      </c>
      <c r="H10" s="45" t="n"/>
    </row>
    <row r="11">
      <c r="A11" s="26" t="inlineStr">
        <is>
          <t>Uso ético de la IA</t>
        </is>
      </c>
      <c r="B11" s="44" t="inlineStr">
        <is>
          <t>Apartado obligatorio: qué herramientas se usaron, para qué y cómo se verificaron sus respuestas.</t>
        </is>
      </c>
      <c r="C11" s="45" t="n">
        <v>0.1</v>
      </c>
      <c r="D11" s="44" t="inlineStr">
        <is>
          <t>Falta el apartado obligatorio sobre uso de la IA.</t>
        </is>
      </c>
      <c r="E11" s="44" t="inlineStr">
        <is>
          <t>Apartado superficial; no explica cómo se usó ni cómo se verificó.</t>
        </is>
      </c>
      <c r="F11" s="44" t="inlineStr">
        <is>
          <t>Explica qué se usó y para qué, con una verificación somera.</t>
        </is>
      </c>
      <c r="G11" s="44" t="inlineStr">
        <is>
          <t>Detalla uso y verificación de la IA de forma crítica y trazable.</t>
        </is>
      </c>
      <c r="H11" s="45" t="n"/>
    </row>
    <row r="13">
      <c r="A13" s="24" t="inlineStr">
        <is>
          <t>Nota (sobre 10):</t>
        </is>
      </c>
      <c r="C13" s="29">
        <f>ROUND(SUMPRODUCT(C7:C11,H7:H11)/3*10,2)</f>
        <v/>
      </c>
    </row>
    <row r="14">
      <c r="A14" s="24" t="inlineStr">
        <is>
          <t>¿Supera la prueba? (Nota ≥ 3,5):</t>
        </is>
      </c>
      <c r="C14" s="30">
        <f>IF(C13&gt;=3.5,"Supera","No supera")</f>
        <v/>
      </c>
    </row>
    <row r="16">
      <c r="A16" s="31" t="inlineStr">
        <is>
          <t>Salvaguarda: sin el apartado de uso de la IA (criterio 5 = 0), el informe no puede alcanzar «excelente». Conversión: Nota = (Σ pesoᵢ·puntᵢ)/3×10. Mínimo de la prueba: Nota ≥ 3,5/10. Descriptores orientativos; ajústense al caso.</t>
        </is>
      </c>
    </row>
  </sheetData>
  <mergeCells count="7">
    <mergeCell ref="B3:D3"/>
    <mergeCell ref="A2:H2"/>
    <mergeCell ref="A16:H16"/>
    <mergeCell ref="B4:D4"/>
    <mergeCell ref="F4:H4"/>
    <mergeCell ref="A1:H1"/>
    <mergeCell ref="F3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30" customWidth="1" style="17" min="1" max="1"/>
    <col width="34" customWidth="1" style="17" min="2" max="2"/>
    <col width="8" customWidth="1" style="17" min="3" max="3"/>
    <col width="26" customWidth="1" style="17" min="4" max="4"/>
    <col width="26" customWidth="1" style="17" min="5" max="5"/>
    <col width="26" customWidth="1" style="17" min="6" max="6"/>
    <col width="28" customWidth="1" style="17" min="7" max="7"/>
    <col width="11" customWidth="1" style="17" min="8" max="8"/>
  </cols>
  <sheetData>
    <row r="1">
      <c r="A1" s="22" t="inlineStr">
        <is>
          <t>Exposición y defensa</t>
        </is>
      </c>
    </row>
    <row r="2">
      <c r="A2" s="23" t="inlineStr">
        <is>
          <t>Escala por criterio: 0 Suspenso · 1 Recuperable · 2 Notable · 3 Excelente. Rúbrica única (50 % del proyecto): exposición 40 % (narrativa, soporte visual, foco y desempeño) + defensa Q&amp;A 10 %.</t>
        </is>
      </c>
    </row>
    <row r="3">
      <c r="A3" s="24" t="inlineStr">
        <is>
          <t>Estudiante / Grupo:</t>
        </is>
      </c>
      <c r="E3" s="24" t="inlineStr">
        <is>
          <t>Caso / Proyecto:</t>
        </is>
      </c>
    </row>
    <row r="4">
      <c r="A4" s="24" t="inlineStr">
        <is>
          <t>Fecha:</t>
        </is>
      </c>
      <c r="E4" s="24" t="inlineStr">
        <is>
          <t>Evaluador/a:</t>
        </is>
      </c>
    </row>
    <row r="6">
      <c r="A6" s="25" t="inlineStr">
        <is>
          <t>Criterio</t>
        </is>
      </c>
      <c r="B6" s="25" t="inlineStr">
        <is>
          <t>Qué se valora</t>
        </is>
      </c>
      <c r="C6" s="25" t="inlineStr">
        <is>
          <t>Peso</t>
        </is>
      </c>
      <c r="D6" s="25" t="inlineStr">
        <is>
          <t>0 · Suspenso</t>
        </is>
      </c>
      <c r="E6" s="25" t="inlineStr">
        <is>
          <t>1 · Recuperable</t>
        </is>
      </c>
      <c r="F6" s="25" t="inlineStr">
        <is>
          <t>2 · Notable</t>
        </is>
      </c>
      <c r="G6" s="25" t="inlineStr">
        <is>
          <t>3 · Excelente</t>
        </is>
      </c>
      <c r="H6" s="25" t="inlineStr">
        <is>
          <t>Punt. (0–3)</t>
        </is>
      </c>
    </row>
    <row r="7">
      <c r="A7" s="26" t="inlineStr">
        <is>
          <t>Narrativa</t>
        </is>
      </c>
      <c r="B7" s="44" t="inlineStr">
        <is>
          <t>Hilo entre audiencia, contexto, resultados, implicaciones y cierre.</t>
        </is>
      </c>
      <c r="C7" s="45" t="n">
        <v>0.25</v>
      </c>
      <c r="D7" s="44" t="inlineStr">
        <is>
          <t>Sin hilo; no conecta audiencia, contexto ni cierre.</t>
        </is>
      </c>
      <c r="E7" s="44" t="inlineStr">
        <is>
          <t>Hilo débil o fragmentado; faltan enlaces (p. ej. implicaciones o cierre).</t>
        </is>
      </c>
      <c r="F7" s="44" t="inlineStr">
        <is>
          <t>Hilo coherente que enlaza audiencia, contexto, resultados e implicaciones, con algún salto.</t>
        </is>
      </c>
      <c r="G7" s="44" t="inlineStr">
        <is>
          <t>Narrativa única y fluida: audiencia, contexto, resultados, implicaciones y cierre perfectamente hilados.</t>
        </is>
      </c>
      <c r="H7" s="45" t="n"/>
    </row>
    <row r="8">
      <c r="A8" s="26" t="inlineStr">
        <is>
          <t>Soporte visual</t>
        </is>
      </c>
      <c r="B8" s="44" t="inlineStr">
        <is>
          <t>Estética y estructura de las diapositivas.</t>
        </is>
      </c>
      <c r="C8" s="45" t="n">
        <v>0.15</v>
      </c>
      <c r="D8" s="44" t="inlineStr">
        <is>
          <t>Diapositivas confusas o sobrecargadas; sin estructura.</t>
        </is>
      </c>
      <c r="E8" s="44" t="inlineStr">
        <is>
          <t>Estética o estructura pobres; dificultan el seguimiento.</t>
        </is>
      </c>
      <c r="F8" s="44" t="inlineStr">
        <is>
          <t>Diapositivas claras y bien estructuradas, con algún exceso o desajuste.</t>
        </is>
      </c>
      <c r="G8" s="44" t="inlineStr">
        <is>
          <t>Soporte visual excelente: estética cuidada y estructura que refuerza el mensaje.</t>
        </is>
      </c>
      <c r="H8" s="45" t="n"/>
    </row>
    <row r="9">
      <c r="A9" s="26" t="inlineStr">
        <is>
          <t>Foco: ideas clave, resultados y justificaciones</t>
        </is>
      </c>
      <c r="B9" s="44" t="inlineStr">
        <is>
          <t>Selección de lo esencial y justificación correcta de resultados y decisiones.</t>
        </is>
      </c>
      <c r="C9" s="45" t="n">
        <v>0.25</v>
      </c>
      <c r="D9" s="44" t="inlineStr">
        <is>
          <t>Se pierde en detalle o no identifica las ideas clave; sin justificar.</t>
        </is>
      </c>
      <c r="E9" s="44" t="inlineStr">
        <is>
          <t>Prioriza mal; resultados o justificaciones incompletos o con errores.</t>
        </is>
      </c>
      <c r="F9" s="44" t="inlineStr">
        <is>
          <t>Selecciona las ideas clave y justifica los resultados, con alguna laguna.</t>
        </is>
      </c>
      <c r="G9" s="44" t="inlineStr">
        <is>
          <t>Foco preciso en lo esencial; resultados bien presentados y justificados con rigor.</t>
        </is>
      </c>
      <c r="H9" s="45" t="n"/>
    </row>
    <row r="10">
      <c r="A10" s="26" t="inlineStr">
        <is>
          <t>Desempeño</t>
        </is>
      </c>
      <c r="B10" s="44" t="inlineStr">
        <is>
          <t>Oralidad, gestión de los tiempos y decoro.</t>
        </is>
      </c>
      <c r="C10" s="45" t="n">
        <v>0.15</v>
      </c>
      <c r="D10" s="44" t="inlineStr">
        <is>
          <t>Oralidad deficiente, fuera de tiempo o actitud poco profesional.</t>
        </is>
      </c>
      <c r="E10" s="44" t="inlineStr">
        <is>
          <t>Oralidad o gestión del tiempo mejorables; decoro justo.</t>
        </is>
      </c>
      <c r="F10" s="44" t="inlineStr">
        <is>
          <t>Buena oralidad, dentro del tiempo y con decoro, con desviaciones menores.</t>
        </is>
      </c>
      <c r="G10" s="44" t="inlineStr">
        <is>
          <t>Oralidad excelente, ajuste perfecto al tiempo y plena profesionalidad.</t>
        </is>
      </c>
      <c r="H10" s="45" t="n"/>
    </row>
    <row r="11">
      <c r="A11" s="26" t="inlineStr">
        <is>
          <t>Defensa (Q&amp;A)</t>
        </is>
      </c>
      <c r="B11" s="44" t="inlineStr">
        <is>
          <t>Corrección y justificación de la respuesta a las preguntas (1–2).</t>
        </is>
      </c>
      <c r="C11" s="45" t="n">
        <v>0.2</v>
      </c>
      <c r="D11" s="44" t="inlineStr">
        <is>
          <t>No responde o responde con errores graves; sin justificar.</t>
        </is>
      </c>
      <c r="E11" s="44" t="inlineStr">
        <is>
          <t>Responde a medias, con imprecisiones; justificación débil.</t>
        </is>
      </c>
      <c r="F11" s="44" t="inlineStr">
        <is>
          <t>Responde correctamente y justifica, con alguna laguna.</t>
        </is>
      </c>
      <c r="G11" s="44" t="inlineStr">
        <is>
          <t>Responde con solidez y justifica con evidencia del proyecto, reconociendo los límites.</t>
        </is>
      </c>
      <c r="H11" s="45" t="n"/>
    </row>
    <row r="13">
      <c r="A13" s="24" t="inlineStr">
        <is>
          <t>Nota (sobre 10):</t>
        </is>
      </c>
      <c r="C13" s="29">
        <f>ROUND(SUMPRODUCT(C7:C11,H7:H11)/3*10,2)</f>
        <v/>
      </c>
    </row>
    <row r="14">
      <c r="A14" s="24" t="inlineStr">
        <is>
          <t>¿Supera la prueba? (Nota ≥ 3,5):</t>
        </is>
      </c>
      <c r="C14" s="30">
        <f>IF(C13&gt;=3.5,"Supera","No supera")</f>
        <v/>
      </c>
    </row>
    <row r="16">
      <c r="A16" s="31" t="inlineStr">
        <is>
          <t>Conversión: Nota = (Σ pesoᵢ·puntᵢ)/3×10. Mínimo de la prueba: Nota ≥ 3,5/10. Descriptores orientativos; ajústense al caso.</t>
        </is>
      </c>
    </row>
  </sheetData>
  <mergeCells count="7">
    <mergeCell ref="B3:D3"/>
    <mergeCell ref="A2:H2"/>
    <mergeCell ref="A16:H16"/>
    <mergeCell ref="B4:D4"/>
    <mergeCell ref="F4:H4"/>
    <mergeCell ref="A1:H1"/>
    <mergeCell ref="F3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0" customWidth="1" style="16" min="1" max="1"/>
    <col width="34" customWidth="1" style="16" min="2" max="2"/>
    <col width="8" customWidth="1" style="16" min="3" max="3"/>
    <col width="26" customWidth="1" style="16" min="4" max="6"/>
    <col width="28" customWidth="1" style="16" min="7" max="7"/>
    <col width="11" customWidth="1" style="16" min="8" max="8"/>
  </cols>
  <sheetData>
    <row r="1" ht="17.35" customHeight="1" s="17">
      <c r="A1" s="18" t="inlineStr">
        <is>
          <t>Rúbrica · Examen oral del proyecto</t>
        </is>
      </c>
    </row>
    <row r="2" ht="15" customHeight="1" s="17">
      <c r="A2" s="19" t="inlineStr">
        <is>
          <t>Escala por bloque: 0 Suspenso · 1 Recuperable · 2 Notable · 3 Excelente.  En cada bloque, el profesorado plantea UNA cuestión sobre el aspecto indicado.</t>
        </is>
      </c>
    </row>
    <row r="3" ht="15" customHeight="1" s="17">
      <c r="A3" s="20" t="inlineStr">
        <is>
          <t>Estudiante:</t>
        </is>
      </c>
      <c r="B3" s="32" t="n"/>
      <c r="C3" s="33" t="n"/>
      <c r="D3" s="34" t="n"/>
      <c r="E3" s="20" t="inlineStr">
        <is>
          <t>Caso / Proyecto:</t>
        </is>
      </c>
      <c r="F3" s="32" t="n"/>
      <c r="G3" s="33" t="n"/>
      <c r="H3" s="34" t="n"/>
    </row>
    <row r="4" ht="15" customHeight="1" s="17">
      <c r="A4" s="20" t="inlineStr">
        <is>
          <t>Fecha:</t>
        </is>
      </c>
      <c r="B4" s="32" t="n"/>
      <c r="C4" s="33" t="n"/>
      <c r="D4" s="34" t="n"/>
      <c r="E4" s="20" t="inlineStr">
        <is>
          <t>Evaluador/a:</t>
        </is>
      </c>
      <c r="F4" s="32" t="n"/>
      <c r="G4" s="33" t="n"/>
      <c r="H4" s="34" t="n"/>
    </row>
    <row r="6" ht="26.85" customHeight="1" s="17">
      <c r="A6" s="35" t="inlineStr">
        <is>
          <t>Bloque</t>
        </is>
      </c>
      <c r="B6" s="35" t="inlineStr">
        <is>
          <t>El profesorado pregunta por…</t>
        </is>
      </c>
      <c r="C6" s="35" t="inlineStr">
        <is>
          <t>Peso</t>
        </is>
      </c>
      <c r="D6" s="35" t="inlineStr">
        <is>
          <t>0 · Suspenso</t>
        </is>
      </c>
      <c r="E6" s="35" t="inlineStr">
        <is>
          <t>1 · Recuperable</t>
        </is>
      </c>
      <c r="F6" s="35" t="inlineStr">
        <is>
          <t>2 · Notable</t>
        </is>
      </c>
      <c r="G6" s="35" t="inlineStr">
        <is>
          <t>3 · Excelente</t>
        </is>
      </c>
      <c r="H6" s="35" t="inlineStr">
        <is>
          <t>Punt. (0–3)</t>
        </is>
      </c>
    </row>
    <row r="7" ht="72" customHeight="1" s="17">
      <c r="A7" s="36" t="inlineStr">
        <is>
          <t>1. Justificaciones técnicas e interpretación</t>
        </is>
      </c>
      <c r="B7" s="37" t="inlineStr">
        <is>
          <t>la justificación de la familia/enlace o la interpretación de un resultado</t>
        </is>
      </c>
      <c r="C7" s="38" t="n">
        <v>0.4</v>
      </c>
      <c r="D7" s="39" t="inlineStr">
        <is>
          <t>No justifica la elección o interpreta de forma incorrecta.</t>
        </is>
      </c>
      <c r="E7" s="39" t="inlineStr">
        <is>
          <t>Justifica o interpreta a medias, con errores que no lo invalidan del todo.</t>
        </is>
      </c>
      <c r="F7" s="39" t="inlineStr">
        <is>
          <t>Justifica e interpreta correctamente, con alguna imprecisión menor.</t>
        </is>
      </c>
      <c r="G7" s="39" t="inlineStr">
        <is>
          <t>Justifica con solidez familia/enlace e interpreta en la escala correcta y en lenguaje del problema, con matices.</t>
        </is>
      </c>
      <c r="H7" s="40" t="n"/>
    </row>
    <row r="8" ht="72" customHeight="1" s="17">
      <c r="A8" s="36" t="inlineStr">
        <is>
          <t>2. Solución a un punto débil</t>
        </is>
      </c>
      <c r="B8" s="37" t="inlineStr">
        <is>
          <t>la solución a uno de los puntos débiles detectados en la corrección</t>
        </is>
      </c>
      <c r="C8" s="38" t="n">
        <v>0.35</v>
      </c>
      <c r="D8" s="39" t="inlineStr">
        <is>
          <t>No reconoce el punto débil o no aporta una solución válida.</t>
        </is>
      </c>
      <c r="E8" s="39" t="inlineStr">
        <is>
          <t>Reconoce el problema, pero la solución es vaga o solo parcialmente correcta.</t>
        </is>
      </c>
      <c r="F8" s="39" t="inlineStr">
        <is>
          <t>Explica la solución correctamente, aunque sin toda la profundidad.</t>
        </is>
      </c>
      <c r="G8" s="39" t="inlineStr">
        <is>
          <t>Identifica el punto débil y explica con claridad la solución y por qué es adecuada.</t>
        </is>
      </c>
      <c r="H8" s="40" t="n"/>
    </row>
    <row r="9" ht="72" customHeight="1" s="17">
      <c r="A9" s="36" t="inlineStr">
        <is>
          <t>3. Extensión / nuevos retos</t>
        </is>
      </c>
      <c r="B9" s="37" t="inlineStr">
        <is>
          <t>una extensión o un nuevo reto sobre el problema ya resuelto</t>
        </is>
      </c>
      <c r="C9" s="38" t="n">
        <v>0.25</v>
      </c>
      <c r="D9" s="39" t="inlineStr">
        <is>
          <t>No aporta.</t>
        </is>
      </c>
      <c r="E9" s="39" t="inlineStr">
        <is>
          <t>Respuesta genérica o superficial.</t>
        </is>
      </c>
      <c r="F9" s="39" t="inlineStr">
        <is>
          <t>Aporta una idea razonable, aunque poco desarrollada.</t>
        </is>
      </c>
      <c r="G9" s="39" t="inlineStr">
        <is>
          <t>Propone una extensión pertinente y bien razonada ante el nuevo reto.</t>
        </is>
      </c>
      <c r="H9" s="40" t="n"/>
    </row>
    <row r="11" ht="15" customHeight="1" s="17">
      <c r="A11" s="20" t="inlineStr">
        <is>
          <t>Nota del oral E (sobre 10):</t>
        </is>
      </c>
      <c r="C11" s="41">
        <f>ROUND(SUMPRODUCT(C7:C9,H7:H9)/3*10,2)</f>
        <v/>
      </c>
    </row>
    <row r="12" ht="26.85" customHeight="1" s="17">
      <c r="A12" s="20" t="inlineStr">
        <is>
          <t>¿Supera la prueba? (E ≥ 3,5 y bloque 1 ≥ 1):</t>
        </is>
      </c>
      <c r="C12" s="41">
        <f>IF(AND(C11&gt;=3.5,H7&gt;=1),"Supera","No supera")</f>
        <v/>
      </c>
    </row>
    <row r="14" ht="30" customHeight="1" s="17">
      <c r="A14" s="42" t="inlineStr">
        <is>
          <t>Mínimo de la prueba: E ≥ 3,5/10 y bloque 1 distinto de 0 (no puede dejarse en blanco la justificación/interpretación). Conversión: E = (0,40·B1 + 0,35·B2 + 0,25·B3)/3×10.</t>
        </is>
      </c>
    </row>
  </sheetData>
  <mergeCells count="7">
    <mergeCell ref="B3:D3"/>
    <mergeCell ref="A2:H2"/>
    <mergeCell ref="B4:D4"/>
    <mergeCell ref="F4:H4"/>
    <mergeCell ref="A14:H14"/>
    <mergeCell ref="A1:H1"/>
    <mergeCell ref="F3:H3"/>
  </mergeCells>
  <dataValidations count="1">
    <dataValidation sqref="H7:H9" showDropDown="0" showInputMessage="0" showErrorMessage="0" allowBlank="1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30" customWidth="1" style="17" min="1" max="1"/>
    <col width="34" customWidth="1" style="17" min="2" max="2"/>
    <col width="8" customWidth="1" style="17" min="3" max="3"/>
    <col width="26" customWidth="1" style="17" min="4" max="4"/>
    <col width="26" customWidth="1" style="17" min="5" max="5"/>
    <col width="26" customWidth="1" style="17" min="6" max="6"/>
    <col width="28" customWidth="1" style="17" min="7" max="7"/>
    <col width="11" customWidth="1" style="17" min="8" max="8"/>
  </cols>
  <sheetData>
    <row r="1">
      <c r="A1" s="22" t="inlineStr">
        <is>
          <t>Examen final – informe</t>
        </is>
      </c>
    </row>
    <row r="2">
      <c r="A2" s="23" t="inlineStr">
        <is>
          <t>Examen final, parte escrita (50 %). Sin acceso a internet ni IA y sobre resultados ya proporcionados: no se evalúan uso de IA ni referencias. Escala 0–3.</t>
        </is>
      </c>
    </row>
    <row r="3">
      <c r="A3" s="24" t="inlineStr">
        <is>
          <t>Estudiante / Grupo:</t>
        </is>
      </c>
      <c r="E3" s="24" t="inlineStr">
        <is>
          <t>Caso / Proyecto:</t>
        </is>
      </c>
    </row>
    <row r="4">
      <c r="A4" s="24" t="inlineStr">
        <is>
          <t>Fecha:</t>
        </is>
      </c>
      <c r="E4" s="24" t="inlineStr">
        <is>
          <t>Evaluador/a:</t>
        </is>
      </c>
    </row>
    <row r="6">
      <c r="A6" s="25" t="inlineStr">
        <is>
          <t>Criterio</t>
        </is>
      </c>
      <c r="B6" s="25" t="inlineStr">
        <is>
          <t>Qué se valora</t>
        </is>
      </c>
      <c r="C6" s="25" t="inlineStr">
        <is>
          <t>Peso</t>
        </is>
      </c>
      <c r="D6" s="25" t="inlineStr">
        <is>
          <t>0 · Suspenso</t>
        </is>
      </c>
      <c r="E6" s="25" t="inlineStr">
        <is>
          <t>1 · Recuperable</t>
        </is>
      </c>
      <c r="F6" s="25" t="inlineStr">
        <is>
          <t>2 · Notable</t>
        </is>
      </c>
      <c r="G6" s="25" t="inlineStr">
        <is>
          <t>3 · Excelente</t>
        </is>
      </c>
      <c r="H6" s="25" t="inlineStr">
        <is>
          <t>Punt. (0–3)</t>
        </is>
      </c>
    </row>
    <row r="7">
      <c r="A7" s="26" t="inlineStr">
        <is>
          <t>Justificaciones técnicas e interpretación</t>
        </is>
      </c>
      <c r="B7" s="44" t="inlineStr">
        <is>
          <t>Justificación de la modelización e interpretación correcta de los resultados (escala adecuada).</t>
        </is>
      </c>
      <c r="C7" s="45" t="n">
        <v>0.35</v>
      </c>
      <c r="D7" s="44" t="inlineStr">
        <is>
          <t>No justifica la modelización o interpreta de forma incorrecta.</t>
        </is>
      </c>
      <c r="E7" s="44" t="inlineStr">
        <is>
          <t>Justifica o interpreta a medias, con errores que no lo invalidan del todo.</t>
        </is>
      </c>
      <c r="F7" s="44" t="inlineStr">
        <is>
          <t>Justifica e interpreta correctamente, con alguna imprecisión.</t>
        </is>
      </c>
      <c r="G7" s="44" t="inlineStr">
        <is>
          <t>Justifica con solidez e interpreta con precisión, en la escala correcta y en lenguaje del problema.</t>
        </is>
      </c>
      <c r="H7" s="45" t="n"/>
    </row>
    <row r="8">
      <c r="A8" s="26" t="inlineStr">
        <is>
          <t>Soluciones e implicaciones derivadas</t>
        </is>
      </c>
      <c r="B8" s="44" t="inlineStr">
        <is>
          <t>Soluciones propuestas e implicaciones extraídas de los resultados.</t>
        </is>
      </c>
      <c r="C8" s="45" t="n">
        <v>0.25</v>
      </c>
      <c r="D8" s="44" t="inlineStr">
        <is>
          <t>No deriva soluciones ni implicaciones, o son erróneas.</t>
        </is>
      </c>
      <c r="E8" s="44" t="inlineStr">
        <is>
          <t>Soluciones o implicaciones vagas o solo parcialmente correctas.</t>
        </is>
      </c>
      <c r="F8" s="44" t="inlineStr">
        <is>
          <t>Soluciones e implicaciones correctas, con algún punto sin desarrollar.</t>
        </is>
      </c>
      <c r="G8" s="44" t="inlineStr">
        <is>
          <t>Soluciones e implicaciones pertinentes, bien razonadas y útiles para la decisión.</t>
        </is>
      </c>
      <c r="H8" s="45" t="n"/>
    </row>
    <row r="9">
      <c r="A9" s="26" t="inlineStr">
        <is>
          <t>Comunicación escrita</t>
        </is>
      </c>
      <c r="B9" s="44" t="inlineStr">
        <is>
          <t>Claridad, orden y precisión de la redacción.</t>
        </is>
      </c>
      <c r="C9" s="45" t="n">
        <v>0.2</v>
      </c>
      <c r="D9" s="44" t="inlineStr">
        <is>
          <t>Redacción confusa; no se sigue el razonamiento.</t>
        </is>
      </c>
      <c r="E9" s="44" t="inlineStr">
        <is>
          <t>Redacción mejorable; ideas desordenadas o imprecisas.</t>
        </is>
      </c>
      <c r="F9" s="44" t="inlineStr">
        <is>
          <t>Redacción clara y ordenada, con descuidos menores.</t>
        </is>
      </c>
      <c r="G9" s="44" t="inlineStr">
        <is>
          <t>Redacción excelente, precisa y bien estructurada.</t>
        </is>
      </c>
      <c r="H9" s="45" t="n"/>
    </row>
    <row r="10">
      <c r="A10" s="26" t="inlineStr">
        <is>
          <t>Ajuste al formato estandarizado</t>
        </is>
      </c>
      <c r="B10" s="44" t="inlineStr">
        <is>
          <t>Respeto del formato solicitado (estructura, figuras y tablas).</t>
        </is>
      </c>
      <c r="C10" s="45" t="n">
        <v>0.2</v>
      </c>
      <c r="D10" s="44" t="inlineStr">
        <is>
          <t>No respeta el formato solicitado.</t>
        </is>
      </c>
      <c r="E10" s="44" t="inlineStr">
        <is>
          <t>Cumple el formato a medias; estructura o figuras/tablas con fallos.</t>
        </is>
      </c>
      <c r="F10" s="44" t="inlineStr">
        <is>
          <t>Respeta el formato, con descuidos menores en estructura o figuras/tablas.</t>
        </is>
      </c>
      <c r="G10" s="44" t="inlineStr">
        <is>
          <t>Formato impecable: estructura, figuras y tablas conforme a lo solicitado.</t>
        </is>
      </c>
      <c r="H10" s="45" t="n"/>
    </row>
    <row r="12">
      <c r="A12" s="24" t="inlineStr">
        <is>
          <t>Nota (sobre 10):</t>
        </is>
      </c>
      <c r="C12" s="29">
        <f>ROUND(SUMPRODUCT(C7:C10,H7:H10)/3*10,2)</f>
        <v/>
      </c>
    </row>
    <row r="13">
      <c r="A13" s="24" t="inlineStr">
        <is>
          <t>¿Supera la prueba? (Nota ≥ 3,5):</t>
        </is>
      </c>
      <c r="C13" s="30">
        <f>IF(C12&gt;=3.5,"Supera","No supera")</f>
        <v/>
      </c>
    </row>
    <row r="15">
      <c r="A15" s="31" t="inlineStr">
        <is>
          <t>Conversión: Nota = (Σ pesoᵢ·puntᵢ)/3×10. Mínimo de la prueba: Nota ≥ 3,5/10. Descriptores orientativos; ajústense al caso.</t>
        </is>
      </c>
    </row>
  </sheetData>
  <mergeCells count="7">
    <mergeCell ref="B3:D3"/>
    <mergeCell ref="A15:H15"/>
    <mergeCell ref="A2:H2"/>
    <mergeCell ref="B4:D4"/>
    <mergeCell ref="F4:H4"/>
    <mergeCell ref="A1:H1"/>
    <mergeCell ref="F3:H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30" customWidth="1" style="17" min="1" max="1"/>
    <col width="34" customWidth="1" style="17" min="2" max="2"/>
    <col width="8" customWidth="1" style="17" min="3" max="3"/>
    <col width="26" customWidth="1" style="17" min="4" max="4"/>
    <col width="26" customWidth="1" style="17" min="5" max="5"/>
    <col width="26" customWidth="1" style="17" min="6" max="6"/>
    <col width="28" customWidth="1" style="17" min="7" max="7"/>
    <col width="11" customWidth="1" style="17" min="8" max="8"/>
  </cols>
  <sheetData>
    <row r="1">
      <c r="A1" s="22" t="inlineStr">
        <is>
          <t>Examen final – oral</t>
        </is>
      </c>
    </row>
    <row r="2">
      <c r="A2" s="23" t="inlineStr">
        <is>
          <t>Examen final, defensa oral (50 %): el estudiante expone su informe y responde a las preguntas. Escala 0–3.</t>
        </is>
      </c>
    </row>
    <row r="3">
      <c r="A3" s="24" t="inlineStr">
        <is>
          <t>Estudiante / Grupo:</t>
        </is>
      </c>
      <c r="E3" s="24" t="inlineStr">
        <is>
          <t>Caso / Proyecto:</t>
        </is>
      </c>
    </row>
    <row r="4">
      <c r="A4" s="24" t="inlineStr">
        <is>
          <t>Fecha:</t>
        </is>
      </c>
      <c r="E4" s="24" t="inlineStr">
        <is>
          <t>Evaluador/a:</t>
        </is>
      </c>
    </row>
    <row r="6">
      <c r="A6" s="25" t="inlineStr">
        <is>
          <t>Criterio</t>
        </is>
      </c>
      <c r="B6" s="25" t="inlineStr">
        <is>
          <t>Qué se valora</t>
        </is>
      </c>
      <c r="C6" s="25" t="inlineStr">
        <is>
          <t>Peso</t>
        </is>
      </c>
      <c r="D6" s="25" t="inlineStr">
        <is>
          <t>0 · Suspenso</t>
        </is>
      </c>
      <c r="E6" s="25" t="inlineStr">
        <is>
          <t>1 · Recuperable</t>
        </is>
      </c>
      <c r="F6" s="25" t="inlineStr">
        <is>
          <t>2 · Notable</t>
        </is>
      </c>
      <c r="G6" s="25" t="inlineStr">
        <is>
          <t>3 · Excelente</t>
        </is>
      </c>
      <c r="H6" s="25" t="inlineStr">
        <is>
          <t>Punt. (0–3)</t>
        </is>
      </c>
    </row>
    <row r="7">
      <c r="A7" s="26" t="inlineStr">
        <is>
          <t>Justificación y corrección técnica</t>
        </is>
      </c>
      <c r="B7" s="44" t="inlineStr">
        <is>
          <t>Corrección técnica y justificación de las respuestas a las preguntas.</t>
        </is>
      </c>
      <c r="C7" s="45" t="n">
        <v>0.4</v>
      </c>
      <c r="D7" s="44" t="inlineStr">
        <is>
          <t>No responde o responde con errores graves; sin justificar.</t>
        </is>
      </c>
      <c r="E7" s="44" t="inlineStr">
        <is>
          <t>Responde a medias, con imprecisiones; justificación débil.</t>
        </is>
      </c>
      <c r="F7" s="44" t="inlineStr">
        <is>
          <t>Responde correctamente y justifica, con alguna laguna.</t>
        </is>
      </c>
      <c r="G7" s="44" t="inlineStr">
        <is>
          <t>Responde con solidez técnica y justifica con rigor.</t>
        </is>
      </c>
      <c r="H7" s="45" t="n"/>
    </row>
    <row r="8">
      <c r="A8" s="26" t="inlineStr">
        <is>
          <t>Interpretación</t>
        </is>
      </c>
      <c r="B8" s="44" t="inlineStr">
        <is>
          <t>Interpretación de los resultados en la escala correcta y en el contexto del problema.</t>
        </is>
      </c>
      <c r="C8" s="45" t="n">
        <v>0.35</v>
      </c>
      <c r="D8" s="44" t="inlineStr">
        <is>
          <t>No interpreta o lo hace de forma incorrecta.</t>
        </is>
      </c>
      <c r="E8" s="44" t="inlineStr">
        <is>
          <t>Interpretación superficial o en escala incorrecta.</t>
        </is>
      </c>
      <c r="F8" s="44" t="inlineStr">
        <is>
          <t>Interpreta correctamente, con alguna imprecisión.</t>
        </is>
      </c>
      <c r="G8" s="44" t="inlineStr">
        <is>
          <t>Interpreta con precisión, en la escala correcta y en lenguaje del problema.</t>
        </is>
      </c>
      <c r="H8" s="45" t="n"/>
    </row>
    <row r="9">
      <c r="A9" s="26" t="inlineStr">
        <is>
          <t>Comunicación oral</t>
        </is>
      </c>
      <c r="B9" s="44" t="inlineStr">
        <is>
          <t>Claridad, orden y precisión al exponer el informe y responder.</t>
        </is>
      </c>
      <c r="C9" s="45" t="n">
        <v>0.25</v>
      </c>
      <c r="D9" s="44" t="inlineStr">
        <is>
          <t>Exposición confusa; no transmite el contenido.</t>
        </is>
      </c>
      <c r="E9" s="44" t="inlineStr">
        <is>
          <t>Exposición poco clara o desordenada.</t>
        </is>
      </c>
      <c r="F9" s="44" t="inlineStr">
        <is>
          <t>Exposición clara y ordenada, con desviaciones menores.</t>
        </is>
      </c>
      <c r="G9" s="44" t="inlineStr">
        <is>
          <t>Exposición excelente: clara, precisa y bien estructurada.</t>
        </is>
      </c>
      <c r="H9" s="45" t="n"/>
    </row>
    <row r="11">
      <c r="A11" s="24" t="inlineStr">
        <is>
          <t>Nota (sobre 10):</t>
        </is>
      </c>
      <c r="C11" s="29">
        <f>ROUND(SUMPRODUCT(C7:C9,H7:H9)/3*10,2)</f>
        <v/>
      </c>
    </row>
    <row r="12">
      <c r="A12" s="24" t="inlineStr">
        <is>
          <t>¿Supera la prueba? (Nota ≥ 3,5):</t>
        </is>
      </c>
      <c r="C12" s="30">
        <f>IF(C11&gt;=3.5,"Supera","No supera")</f>
        <v/>
      </c>
    </row>
    <row r="14">
      <c r="A14" s="31" t="inlineStr">
        <is>
          <t>Conversión: Nota = (Σ pesoᵢ·puntᵢ)/3×10. Mínimo de la prueba: Nota ≥ 3,5/10. Descriptores orientativos; ajústense al caso.</t>
        </is>
      </c>
    </row>
  </sheetData>
  <mergeCells count="7">
    <mergeCell ref="B3:D3"/>
    <mergeCell ref="A2:H2"/>
    <mergeCell ref="B4:D4"/>
    <mergeCell ref="F4:H4"/>
    <mergeCell ref="A14:H14"/>
    <mergeCell ref="A1:H1"/>
    <mergeCell ref="F3:H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22" customWidth="1" style="17" min="1" max="1"/>
    <col width="16" customWidth="1" style="17" min="2" max="2"/>
    <col width="16" customWidth="1" style="17" min="3" max="3"/>
    <col width="16" customWidth="1" style="17" min="4" max="4"/>
    <col width="18" customWidth="1" style="17" min="5" max="5"/>
    <col width="14" customWidth="1" style="17" min="6" max="6"/>
    <col width="18" customWidth="1" style="17" min="7" max="7"/>
    <col width="11" customWidth="1" style="17" min="8" max="8"/>
  </cols>
  <sheetData>
    <row r="1">
      <c r="A1" s="22" t="inlineStr">
        <is>
          <t>Coevaluación 360 · factor individual w</t>
        </is>
      </c>
    </row>
    <row r="2">
      <c r="A2" s="23" t="inlineStr">
        <is>
          <t>Cada estudiante puntúa a cada compañero/a de 0 a 4 en tres ítems. La implicación recibida de cada evaluador es la media de sus tres ítems; w se fija por la mediana (robusta) de las implicaciones recibidas.</t>
        </is>
      </c>
    </row>
    <row r="3">
      <c r="A3" s="24" t="inlineStr">
        <is>
          <t>Estudiante evaluado/a:</t>
        </is>
      </c>
      <c r="E3" s="24" t="inlineStr">
        <is>
          <t>Caso / Proyecto:</t>
        </is>
      </c>
    </row>
    <row r="5">
      <c r="A5" s="25" t="inlineStr">
        <is>
          <t>Evaluador/a</t>
        </is>
      </c>
      <c r="B5" s="25" t="inlineStr">
        <is>
          <t>Cumplimiento (0–4)</t>
        </is>
      </c>
      <c r="C5" s="25" t="inlineStr">
        <is>
          <t>Contribución (0–4)</t>
        </is>
      </c>
      <c r="D5" s="25" t="inlineStr">
        <is>
          <t>Colaboración (0–4)</t>
        </is>
      </c>
      <c r="E5" s="25" t="inlineStr">
        <is>
          <t>Implicación (media)</t>
        </is>
      </c>
    </row>
    <row r="6">
      <c r="A6" s="26" t="inlineStr">
        <is>
          <t>Compañero/a 1</t>
        </is>
      </c>
      <c r="B6" s="28" t="n"/>
      <c r="C6" s="28" t="n"/>
      <c r="D6" s="28" t="n"/>
      <c r="E6" s="28">
        <f>IF(COUNT(B6:D6)=3,AVERAGE(B6:D6),"")</f>
        <v/>
      </c>
    </row>
    <row r="7">
      <c r="A7" s="26" t="inlineStr">
        <is>
          <t>Compañero/a 2</t>
        </is>
      </c>
      <c r="B7" s="28" t="n"/>
      <c r="C7" s="28" t="n"/>
      <c r="D7" s="28" t="n"/>
      <c r="E7" s="28">
        <f>IF(COUNT(B7:D7)=3,AVERAGE(B7:D7),"")</f>
        <v/>
      </c>
    </row>
    <row r="9">
      <c r="A9" s="24" t="inlineStr">
        <is>
          <t>Mediana de implicación recibida:</t>
        </is>
      </c>
      <c r="E9" s="29">
        <f>IF(COUNT(E6:E7)&gt;0,MEDIAN(E6:E7),"")</f>
        <v/>
      </c>
    </row>
    <row r="10">
      <c r="A10" s="24" t="inlineStr">
        <is>
          <t>Factor w:</t>
        </is>
      </c>
      <c r="E10" s="29">
        <f>IF(E9="","",IF(E9&gt;=3,1,IF(E9&gt;=1.5,0.8,0.5)))</f>
        <v/>
      </c>
    </row>
    <row r="12">
      <c r="A12" s="24" t="inlineStr">
        <is>
          <t>Bandas de w</t>
        </is>
      </c>
    </row>
    <row r="13">
      <c r="A13" s="25" t="inlineStr">
        <is>
          <t>Banda</t>
        </is>
      </c>
      <c r="B13" s="25" t="inlineStr">
        <is>
          <t>Criterio (mediana 0–4)</t>
        </is>
      </c>
      <c r="C13" s="25" t="inlineStr">
        <is>
          <t>w</t>
        </is>
      </c>
    </row>
    <row r="14">
      <c r="A14" s="43" t="inlineStr">
        <is>
          <t>Implicación plena</t>
        </is>
      </c>
      <c r="B14" s="43" t="inlineStr">
        <is>
          <t>mediana ≥ 3</t>
        </is>
      </c>
      <c r="C14" s="43" t="inlineStr">
        <is>
          <t>1,00</t>
        </is>
      </c>
    </row>
    <row r="15">
      <c r="A15" s="43" t="inlineStr">
        <is>
          <t>Implicación parcial</t>
        </is>
      </c>
      <c r="B15" s="43" t="inlineStr">
        <is>
          <t>1,5 ≤ mediana &lt; 3</t>
        </is>
      </c>
      <c r="C15" s="43" t="inlineStr">
        <is>
          <t>0,80</t>
        </is>
      </c>
    </row>
    <row r="16">
      <c r="A16" s="43" t="inlineStr">
        <is>
          <t>Implicación insuficiente</t>
        </is>
      </c>
      <c r="B16" s="43" t="inlineStr">
        <is>
          <t>mediana &lt; 1,5</t>
        </is>
      </c>
      <c r="C16" s="43" t="inlineStr">
        <is>
          <t>≤ 0,50</t>
        </is>
      </c>
    </row>
    <row r="18">
      <c r="A18" s="31" t="inlineStr">
        <is>
          <t>Ítems: Cumplimiento (tareas del rol y plazos) · Contribución (calidad del trabajo) · Colaboración (facilita al equipo). Salvaguardas: no computan las coevaluaciones emitidas por quien queda en banda insuficiente; no cumplimentar bitácora/coevaluación limita w a 0,80; el docente revisa discrepancias con la evidencia de contribución antes de fijar w.</t>
        </is>
      </c>
    </row>
  </sheetData>
  <mergeCells count="5">
    <mergeCell ref="F3:G3"/>
    <mergeCell ref="B3:D3"/>
    <mergeCell ref="A1:G1"/>
    <mergeCell ref="A18:G18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2026-06-19T08:15:03Z</dcterms:created>
  <dcterms:modified xmlns:dcterms="http://purl.org/dc/terms/" xmlns:xsi="http://www.w3.org/2001/XMLSchema-instance" xsi:type="dcterms:W3CDTF">2026-06-19T12:53:25Z</dcterms:modified>
  <cp:revision>0</cp:revision>
</cp:coreProperties>
</file>