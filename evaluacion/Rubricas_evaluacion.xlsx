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estaurador/Claude/Projects/GLM/evaluacion/"/>
    </mc:Choice>
  </mc:AlternateContent>
  <xr:revisionPtr revIDLastSave="0" documentId="13_ncr:1_{743D4B47-5373-3D4B-971C-59CAB84B4131}" xr6:coauthVersionLast="47" xr6:coauthVersionMax="47" xr10:uidLastSave="{00000000-0000-0000-0000-000000000000}"/>
  <bookViews>
    <workbookView xWindow="5120" yWindow="500" windowWidth="35840" windowHeight="20840" activeTab="2" xr2:uid="{00000000-000D-0000-FFFF-FFFF00000000}"/>
  </bookViews>
  <sheets>
    <sheet name="Índice" sheetId="1" r:id="rId1"/>
    <sheet name="organigrama" sheetId="2" r:id="rId2"/>
    <sheet name="Informe" sheetId="3" r:id="rId3"/>
    <sheet name="Exposición y defensa" sheetId="4" r:id="rId4"/>
    <sheet name="Oral – proyecto" sheetId="5" r:id="rId5"/>
    <sheet name="Examen final – informe" sheetId="6" r:id="rId6"/>
    <sheet name="Examen final – oral" sheetId="7" r:id="rId7"/>
    <sheet name="Coevaluación 360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8" l="1"/>
  <c r="E35" i="8"/>
  <c r="E34" i="8"/>
  <c r="F34" i="8" s="1"/>
  <c r="E32" i="8"/>
  <c r="F30" i="8" s="1"/>
  <c r="E31" i="8"/>
  <c r="E30" i="8"/>
  <c r="E28" i="8"/>
  <c r="E27" i="8"/>
  <c r="E26" i="8"/>
  <c r="F26" i="8" s="1"/>
  <c r="C12" i="6"/>
  <c r="C13" i="6" s="1"/>
  <c r="C11" i="5"/>
  <c r="C12" i="5" s="1"/>
  <c r="C13" i="4"/>
  <c r="C14" i="4" s="1"/>
  <c r="C13" i="3"/>
  <c r="C14" i="3" s="1"/>
  <c r="C11" i="7"/>
  <c r="C12" i="7" s="1"/>
  <c r="G34" i="8" l="1"/>
  <c r="G36" i="8"/>
  <c r="G35" i="8"/>
  <c r="G31" i="8"/>
  <c r="G30" i="8"/>
  <c r="G32" i="8"/>
  <c r="G27" i="8"/>
  <c r="G26" i="8"/>
  <c r="G28" i="8"/>
  <c r="B42" i="8" l="1"/>
  <c r="C42" i="8" s="1"/>
  <c r="E42" i="8" s="1"/>
  <c r="B40" i="8"/>
  <c r="C40" i="8" s="1"/>
  <c r="E40" i="8" s="1"/>
  <c r="B41" i="8"/>
  <c r="C41" i="8" s="1"/>
  <c r="E41" i="8" s="1"/>
</calcChain>
</file>

<file path=xl/sharedStrings.xml><?xml version="1.0" encoding="utf-8"?>
<sst xmlns="http://schemas.openxmlformats.org/spreadsheetml/2006/main" count="317" uniqueCount="247">
  <si>
    <t>Examen final – oral</t>
  </si>
  <si>
    <t>Examen final, defensa oral (50 %): el estudiante expone su informe y responde a las preguntas. Escala 0–3.</t>
  </si>
  <si>
    <t>Estudiante / Grupo:</t>
  </si>
  <si>
    <t>Caso / Proyecto:</t>
  </si>
  <si>
    <t>Fecha:</t>
  </si>
  <si>
    <t>Evaluador/a:</t>
  </si>
  <si>
    <t>Criterio</t>
  </si>
  <si>
    <t>Qué se valora</t>
  </si>
  <si>
    <t>Peso</t>
  </si>
  <si>
    <t>0 · Suspenso</t>
  </si>
  <si>
    <t>1 · Recuperable</t>
  </si>
  <si>
    <t>2 · Notable</t>
  </si>
  <si>
    <t>3 · Excelente</t>
  </si>
  <si>
    <t>Punt. (0–3)</t>
  </si>
  <si>
    <t>Justificación y corrección técnica</t>
  </si>
  <si>
    <t>Corrección técnica y justificación de las respuestas a las preguntas.</t>
  </si>
  <si>
    <t>No responde o responde con errores graves; sin justificar.</t>
  </si>
  <si>
    <t>Responde a medias, con imprecisiones; justificación débil.</t>
  </si>
  <si>
    <t>Responde correctamente y justifica, con alguna laguna.</t>
  </si>
  <si>
    <t>Responde con solidez técnica y justifica con rigor.</t>
  </si>
  <si>
    <t>Interpretación</t>
  </si>
  <si>
    <t>Interpretación de los resultados en la escala correcta y en el contexto del problema.</t>
  </si>
  <si>
    <t>No interpreta o lo hace de forma incorrecta.</t>
  </si>
  <si>
    <t>Interpretación superficial o en escala incorrecta.</t>
  </si>
  <si>
    <t>Interpreta correctamente, con alguna imprecisión.</t>
  </si>
  <si>
    <t>Interpreta con precisión, en la escala correcta y en lenguaje del problema.</t>
  </si>
  <si>
    <t>Comunicación oral</t>
  </si>
  <si>
    <t>Claridad, orden y precisión al exponer el informe y responder.</t>
  </si>
  <si>
    <t>Exposición confusa; no transmite el contenido.</t>
  </si>
  <si>
    <t>Exposición poco clara o desordenada.</t>
  </si>
  <si>
    <t>Exposición clara y ordenada, con desviaciones menores.</t>
  </si>
  <si>
    <t>Exposición excelente: clara, precisa y bien estructurada.</t>
  </si>
  <si>
    <t>Nota (sobre 10):</t>
  </si>
  <si>
    <t>¿Supera la prueba? (Nota ≥ 3,5):</t>
  </si>
  <si>
    <t>Conversión: Nota = (Σ pesoᵢ·puntᵢ)/3×10. Mínimo de la prueba: Nota ≥ 3,5/10. Descriptores orientativos; ajústense al caso.</t>
  </si>
  <si>
    <t>Rúbricas de calificación · GLM con R</t>
  </si>
  <si>
    <t>Cada hoja contiene una rúbrica en escala 0–3 (0 Suspenso · 1 Recuperable · 2 Notable · 3 Excelente). Nota/10 = (Σ peso·punt)/3×10. Mínimo por prueba: 3,5/10.</t>
  </si>
  <si>
    <t>Rúbricas incluidas:</t>
  </si>
  <si>
    <t>• Informe (P, grupal) — 5 criterios (20/20/30/20/10)</t>
  </si>
  <si>
    <t>• Exposición y defensa (P, grupal) — 50 % del proyecto</t>
  </si>
  <si>
    <t>• Examen oral del proyecto (individual) — 3 bloques (40/35/25)</t>
  </si>
  <si>
    <t>• Examen final – informe (50 %) — 4 criterios (35/25/20/20)</t>
  </si>
  <si>
    <t>• Examen final – oral (50 %) — 3 criterios (40/35/25)</t>
  </si>
  <si>
    <t>• Coevaluación 360 → factor individual w (hoja «Coevaluación 360»: rúbrica, cálculo del factor y calculadora para equipos de 3)</t>
  </si>
  <si>
    <t>Tipo de evaluación</t>
  </si>
  <si>
    <t>Contenidos</t>
  </si>
  <si>
    <t>Evaluación</t>
  </si>
  <si>
    <t>Criterios</t>
  </si>
  <si>
    <t>Evaluación continua</t>
  </si>
  <si>
    <t>3 Estudios de Caso (EC)</t>
  </si>
  <si>
    <t>N=(EC1+EC2+EC3)*1/3</t>
  </si>
  <si>
    <t>Estudio de caso</t>
  </si>
  <si>
    <t>EC = 0,6*Gru+0,4*DefInd</t>
  </si>
  <si>
    <t xml:space="preserve">Evaluación continua: (Gru&gt;=3.5 ^ Ind&gt;=3.5) ^ (EC&gt;=5) </t>
  </si>
  <si>
    <t>Proyecto Grupal</t>
  </si>
  <si>
    <t>Gru = (0,5*Inf + 0,4*Expo + 0,1*PR)*Coi</t>
  </si>
  <si>
    <t>Informe (Inf)</t>
  </si>
  <si>
    <t>concreción del problema y objetivos, la descripción de datos y métodos, la adecuación de los resultados e interpretaciones, la redacción y ajuste al formato estandarizado, y el uso ético de la IA</t>
  </si>
  <si>
    <t>Exposición (Expo)</t>
  </si>
  <si>
    <t>narrativa, el soporte visual, la identificación de las ideas clave y la comunicación oral</t>
  </si>
  <si>
    <t>Preguntas y Respuestas (PR)</t>
  </si>
  <si>
    <t>corrección y justificación de las respuestas</t>
  </si>
  <si>
    <t>Coevaluación 360 (Coi)</t>
  </si>
  <si>
    <t>cumplimiento, contribución y colaboración en el desarrollo del proyecto</t>
  </si>
  <si>
    <t>Examen Oral</t>
  </si>
  <si>
    <t>Defensa individual (DefInd)</t>
  </si>
  <si>
    <t xml:space="preserve"> justificaciones técnicas e interpretación de resultados, la resolución de las correcciones señaladas en la evaluación del proyecto, la reflexión sobre los puntos débiles y recomendaciones dadas, y la capacidad de proyección de soluciones a nuevos retos relacionados con el estudio de caso trabajado</t>
  </si>
  <si>
    <t>Examen final</t>
  </si>
  <si>
    <t>1/2 estudios de caso resueltos total/parcialmente</t>
  </si>
  <si>
    <t>N = 0,5*Inf + 0,5*Def</t>
  </si>
  <si>
    <t xml:space="preserve"> justificaciones técnicas e interpretación de resultados, las soluciones e implicaciones derivadas, las capacidades comunicativas escritas y el ajuste al formato estandarizado</t>
  </si>
  <si>
    <t>Defensa Oral (Def)</t>
  </si>
  <si>
    <t>justificación y corrección técnica, interpretación de resultados y comunicación oral</t>
  </si>
  <si>
    <t>Informe</t>
  </si>
  <si>
    <t>Escala por criterio: 0 Suspenso · 1 Recuperable · 2 Notable · 3 Excelente.</t>
  </si>
  <si>
    <t>Problema, audiencia y objetivos</t>
  </si>
  <si>
    <t>Concreción del problema, ajuste a la audiencia y objetivos, según la tipología de informe.</t>
  </si>
  <si>
    <t>Problema u objetivos ausentes o confusos; no atiende a la audiencia.</t>
  </si>
  <si>
    <t>Problema y objetivos esbozados, con imprecisiones o desajuste con la audiencia.</t>
  </si>
  <si>
    <t>Problema y objetivos claros y adecuados a la audiencia, con algún matiz mejorable.</t>
  </si>
  <si>
    <t>Problema bien delimitado, objetivos precisos y enfoque plenamente ajustado a la audiencia.</t>
  </si>
  <si>
    <t>Datos, método y reproducibilidad</t>
  </si>
  <si>
    <t>Descripción de datos, elección de familia/enlace, código reproducible y trazabilidad del entorno (semilla y versiones).</t>
  </si>
  <si>
    <t>Datos o método mal descritos. El informe.qmd no renderiza en otra máquina: rutas absolutas, paquetes sin declarar u objetos heredados. Sin semilla ni anexo de entorno.</t>
  </si>
  <si>
    <t>Descripción parcial. El informe.qmd renderiza solo tras retoques manuales, o la aleatoriedad no está sembrada. Falta el anexo de entorno o está incompleto.</t>
  </si>
  <si>
    <t>Datos y método correctos. El informe.qmd renderiza de cero en otra máquina, con semilla fijada y anexo de entorno (sessionInfo), con detalles menores por pulir.</t>
  </si>
  <si>
    <t>Datos y método rigurosos y decisiones justificadas. El informe.qmd renderiza de cero sin intervención, con semillas fijadas en cada bloque aleatorio y anexo de entorno completo que permite reconstruir versiones de R y paquetes.</t>
  </si>
  <si>
    <t>Resultados, visualización e interpretación</t>
  </si>
  <si>
    <t>Adecuación de resultados, calidad de las figuras e interpretación en la escala correcta.</t>
  </si>
  <si>
    <t>Resultados erróneos o sin interpretar; visualización inadecuada.</t>
  </si>
  <si>
    <t>Resultados básicos con interpretación superficial o en escala incorrecta.</t>
  </si>
  <si>
    <t>Resultados correctos, bien visualizados e interpretados con prudencia, con algún matiz.</t>
  </si>
  <si>
    <t>Resultados sólidos, visualización excelente e interpretación precisa (OR/IRR/efectos) con incertidumbre y límites.</t>
  </si>
  <si>
    <t>Redacción, formato y referencias (APA 7)</t>
  </si>
  <si>
    <t>Claridad de la redacción y adecuación a audiencia/informe, respeto de la plantilla estandarizada, formateado de figuras y tablas, y citas y referencias en APA 7.</t>
  </si>
  <si>
    <t>Redacción deficiente; no respeta la plantilla; figuras/tablas sin formato; sin citas APA.</t>
  </si>
  <si>
    <t>Redacción mejorable; cumple la plantilla a medias; figuras/tablas o citas con fallos frecuentes.</t>
  </si>
  <si>
    <t>Redacción clara y plantilla respetada; figuras, tablas y citas correctas con descuidos menores.</t>
  </si>
  <si>
    <t>Redacción excelente; plantilla y formato de figuras/tablas impecables; citas y referencias APA 7 sin errores.</t>
  </si>
  <si>
    <t>Uso ético de la IA</t>
  </si>
  <si>
    <t>Apartado obligatorio: qué herramientas se usaron, para qué y cómo se verificaron sus respuestas.</t>
  </si>
  <si>
    <t>Falta el apartado obligatorio sobre uso de la IA.</t>
  </si>
  <si>
    <t>Apartado superficial; no explica cómo se usó ni cómo se verificó.</t>
  </si>
  <si>
    <t>Explica qué se usó y para qué, con una verificación somera.</t>
  </si>
  <si>
    <t>Detalla uso y verificación de la IA de forma crítica y trazable.</t>
  </si>
  <si>
    <t>Salvaguarda: sin el apartado de uso de la IA (criterio 5 = 0), el informe no puede alcanzar «excelente». Conversión: Nota = (Σ pesoᵢ·puntᵢ)/3×10. Mínimo de la prueba: Nota ≥ 3,5/10. Descriptores orientativos; ajústense al caso.</t>
  </si>
  <si>
    <t>Exposición y defensa</t>
  </si>
  <si>
    <t>Escala por criterio: 0 Suspenso · 1 Recuperable · 2 Notable · 3 Excelente. Rúbrica única (50 % del proyecto): exposición 40 % (narrativa, soporte visual, foco y desempeño) + defensa Q&amp;A 10 %.</t>
  </si>
  <si>
    <t>Narrativa</t>
  </si>
  <si>
    <t>Hilo entre audiencia, contexto, resultados, implicaciones y cierre.</t>
  </si>
  <si>
    <t>Sin hilo; no conecta audiencia, contexto ni cierre.</t>
  </si>
  <si>
    <t>Hilo débil o fragmentado; faltan enlaces (p. ej. implicaciones o cierre).</t>
  </si>
  <si>
    <t>Hilo coherente que enlaza audiencia, contexto, resultados e implicaciones, con algún salto.</t>
  </si>
  <si>
    <t>Narrativa única y fluida: audiencia, contexto, resultados, implicaciones y cierre perfectamente hilados.</t>
  </si>
  <si>
    <t>Soporte visual</t>
  </si>
  <si>
    <t>Estética y estructura de las diapositivas.</t>
  </si>
  <si>
    <t>Diapositivas confusas o sobrecargadas; sin estructura.</t>
  </si>
  <si>
    <t>Estética o estructura pobres; dificultan el seguimiento.</t>
  </si>
  <si>
    <t>Diapositivas claras y bien estructuradas, con algún exceso o desajuste.</t>
  </si>
  <si>
    <t>Soporte visual excelente: estética cuidada y estructura que refuerza el mensaje.</t>
  </si>
  <si>
    <t>Foco: ideas clave, resultados y justificaciones</t>
  </si>
  <si>
    <t>Selección de lo esencial y justificación correcta de resultados y decisiones.</t>
  </si>
  <si>
    <t>Se pierde en detalle o no identifica las ideas clave; sin justificar.</t>
  </si>
  <si>
    <t>Prioriza mal; resultados o justificaciones incompletos o con errores.</t>
  </si>
  <si>
    <t>Selecciona las ideas clave y justifica los resultados, con alguna laguna.</t>
  </si>
  <si>
    <t>Foco preciso en lo esencial; resultados bien presentados y justificados con rigor.</t>
  </si>
  <si>
    <t>Desempeño</t>
  </si>
  <si>
    <t>Oralidad, gestión de los tiempos y decoro.</t>
  </si>
  <si>
    <t>Oralidad deficiente, fuera de tiempo o actitud poco profesional.</t>
  </si>
  <si>
    <t>Oralidad o gestión del tiempo mejorables; decoro justo.</t>
  </si>
  <si>
    <t>Buena oralidad, dentro del tiempo y con decoro, con desviaciones menores.</t>
  </si>
  <si>
    <t>Oralidad excelente, ajuste perfecto al tiempo y plena profesionalidad.</t>
  </si>
  <si>
    <t>Corrección y justificación de la respuesta a las preguntas (1–2).</t>
  </si>
  <si>
    <t>Responde con solidez y justifica con evidencia del proyecto, reconociendo los límites.</t>
  </si>
  <si>
    <t>Rúbrica · Examen oral del proyecto</t>
  </si>
  <si>
    <t>Escala por bloque: 0 Suspenso · 1 Recuperable · 2 Notable · 3 Excelente.  En cada bloque, el profesorado plantea UNA cuestión sobre el aspecto indicado.</t>
  </si>
  <si>
    <t>Estudiante:</t>
  </si>
  <si>
    <t>Bloque</t>
  </si>
  <si>
    <t>El profesorado pregunta por…</t>
  </si>
  <si>
    <t>1. Justificaciones técnicas e interpretación</t>
  </si>
  <si>
    <t>la justificación de las respuestas dadas y la interpretación solicitada de resultados</t>
  </si>
  <si>
    <t>No justifica la respuesta o interpreta de forma incorrecta.</t>
  </si>
  <si>
    <t>Justifica o interpreta a medias, con errores que no lo invalidan del todo.</t>
  </si>
  <si>
    <t>Justifica e interpreta correctamente, con alguna imprecisión menor.</t>
  </si>
  <si>
    <t>Justifica con solidez familia/enlace e interpreta en la escala correcta y en lenguaje del problema, con matices.</t>
  </si>
  <si>
    <t>2. Solución a un punto débil</t>
  </si>
  <si>
    <t>la solución a uno de los puntos débiles detectados en la corrección</t>
  </si>
  <si>
    <t>No reconoce el punto débil o no aporta una solución válida.</t>
  </si>
  <si>
    <t>Reconoce el problema, pero la solución es vaga o solo parcialmente correcta.</t>
  </si>
  <si>
    <t>Explica la solución correctamente, aunque sin toda la profundidad.</t>
  </si>
  <si>
    <t>Identifica el punto débil y explica con claridad la solución y por qué es adecuada.</t>
  </si>
  <si>
    <t>3. Extensión / nuevos retos</t>
  </si>
  <si>
    <t>una extensión o un nuevo reto sobre el problema ya resuelto</t>
  </si>
  <si>
    <t>No aporta.</t>
  </si>
  <si>
    <t>Respuesta genérica o superficial.</t>
  </si>
  <si>
    <t>Aporta una idea razonable, aunque poco desarrollada.</t>
  </si>
  <si>
    <t>Propone una extensión pertinente y bien razonada ante el nuevo reto.</t>
  </si>
  <si>
    <t>Nota del oral E (sobre 10):</t>
  </si>
  <si>
    <t>¿Supera la prueba? (E ≥ 3,5 y bloque 1 ≥ 1):</t>
  </si>
  <si>
    <t>Mínimo de la prueba: E ≥ 3,5/10 y bloque 1 distinto de 0 (no puede dejarse en blanco la justificación/interpretación). Conversión: E = (0,40·B1 + 0,35·B2 + 0,25·B3)/3×10.</t>
  </si>
  <si>
    <t>Examen final – informe</t>
  </si>
  <si>
    <t>Examen final, parte escrita (50 %). Sin acceso a internet ni IA y sobre resultados ya proporcionados: no se evalúan uso de IA ni referencias. Escala 0–3.</t>
  </si>
  <si>
    <t>Justificaciones técnicas e interpretación</t>
  </si>
  <si>
    <t>Justificación de la modelización e interpretación correcta de los resultados (escala adecuada).</t>
  </si>
  <si>
    <t>No justifica la modelización o interpreta de forma incorrecta.</t>
  </si>
  <si>
    <t>Justifica e interpreta correctamente, con alguna imprecisión.</t>
  </si>
  <si>
    <t>Justifica con solidez e interpreta con precisión, en la escala correcta y en lenguaje del problema.</t>
  </si>
  <si>
    <t>Soluciones e implicaciones derivadas</t>
  </si>
  <si>
    <t>Soluciones propuestas e implicaciones extraídas de los resultados.</t>
  </si>
  <si>
    <t>No deriva soluciones ni implicaciones, o son erróneas.</t>
  </si>
  <si>
    <t>Soluciones o implicaciones vagas o solo parcialmente correctas.</t>
  </si>
  <si>
    <t>Soluciones e implicaciones correctas, con algún punto sin desarrollar.</t>
  </si>
  <si>
    <t>Soluciones e implicaciones pertinentes, bien razonadas y útiles para la decisión.</t>
  </si>
  <si>
    <t>Comunicación escrita</t>
  </si>
  <si>
    <t>Claridad, orden y precisión de la redacción.</t>
  </si>
  <si>
    <t>Redacción confusa; no se sigue el razonamiento.</t>
  </si>
  <si>
    <t>Redacción mejorable; ideas desordenadas o imprecisas.</t>
  </si>
  <si>
    <t>Redacción clara y ordenada, con descuidos menores.</t>
  </si>
  <si>
    <t>Redacción excelente, precisa y bien estructurada.</t>
  </si>
  <si>
    <t>Ajuste al formato estandarizado</t>
  </si>
  <si>
    <t>Respeto del formato solicitado (estructura, figuras y tablas).</t>
  </si>
  <si>
    <t>No respeta el formato solicitado.</t>
  </si>
  <si>
    <t>Cumple el formato a medias; estructura o figuras/tablas con fallos.</t>
  </si>
  <si>
    <t>Respeta el formato, con descuidos menores en estructura o figuras/tablas.</t>
  </si>
  <si>
    <t>Formato impecable: estructura, figuras y tablas conforme a lo solicitado.</t>
  </si>
  <si>
    <t>Coevaluación 360 · factor individual de implicación (w)</t>
  </si>
  <si>
    <t>La coevaluación NO valora la calidad del trabajo —de eso se ocupan las rúbricas del informe y de la exposición—, sino si cada persona hizo la parte que le correspondía. Cada estudiante valora a sus compañeros Y a sí mismo. Escala 0–3, la misma del resto de rúbricas.</t>
  </si>
  <si>
    <t>Pregunta</t>
  </si>
  <si>
    <t>Qué dimensiones recoge</t>
  </si>
  <si>
    <t>0 · Apenas o nada</t>
  </si>
  <si>
    <t>1 · A medias</t>
  </si>
  <si>
    <t>2 · En gran parte</t>
  </si>
  <si>
    <t>3 · Plenamente</t>
  </si>
  <si>
    <t>P1. CUMPLIMIENTO Y CONTRIBUCIÓN. ¿Sacó adelante el trabajo que le correspondía, y en las fechas acordadas?</t>
  </si>
  <si>
    <t>Cumplimiento y contribución</t>
  </si>
  <si>
    <t>Su aportación fue testimonial o inexistente.</t>
  </si>
  <si>
    <t>Una parte apreciable de lo suyo la acabaron asumiendo otros.</t>
  </si>
  <si>
    <t>Cumplió en lo esencial, pero hubo que reclamarle o rehacer alguna parte.</t>
  </si>
  <si>
    <t>Asumió por completo lo que le correspondía; nadie tuvo que suplirle.</t>
  </si>
  <si>
    <t>P2. COLABORACIÓN. ¿Facilitó el trabajo de sus compañeros?</t>
  </si>
  <si>
    <t>Colaboración</t>
  </si>
  <si>
    <t>No facilitó el trabajo de nadie; llegó a entorpecerlo.</t>
  </si>
  <si>
    <t>Colaboró de forma puntual, solo cuando se le pidió.</t>
  </si>
  <si>
    <t>Colaboró habitualmente, con alguna laguna.</t>
  </si>
  <si>
    <t>Facilitó activamente el trabajo del equipo.</t>
  </si>
  <si>
    <t>El 3 es el nivel ESPERADO, no el excepcional: en un equipo que funciona todos lo reciben y todos conservan w = 1.</t>
  </si>
  <si>
    <t>Cómo se calcula el factor w</t>
  </si>
  <si>
    <t>Paso</t>
  </si>
  <si>
    <t>Fórmula</t>
  </si>
  <si>
    <t>Por qué</t>
  </si>
  <si>
    <t>0. Puntuación emitida</t>
  </si>
  <si>
    <t>s(i→j) = (2·P1 + P2) / 3</t>
  </si>
  <si>
    <t>Media ponderada de lo que el evaluador i otorga a j. P1 pesa el doble: la buena disposición no compensa la ausencia de trabajo.</t>
  </si>
  <si>
    <t>1. Normalizar al evaluador</t>
  </si>
  <si>
    <t>ω(i→j) = s(i→j) / media de lo que emite i</t>
  </si>
  <si>
    <t>Cada evaluador REPARTE, no califica: su severidad o generosidad deja de influir. Quien puntúa igual a todos emite ω = 1 para todos. Convenio: si i puntúa 0 a todo el equipo, se le asignan también índices 1.</t>
  </si>
  <si>
    <t>2. Agregar lo recibido</t>
  </si>
  <si>
    <t>R(j) = mediana de los ω que recibe j</t>
  </si>
  <si>
    <t>Con autoevaluación incluida son tres votos: hacen falta DOS coincidencias para mover el resultado. Un voto hostil aislado queda fuera, y nadie se salva con el suyo propio.</t>
  </si>
  <si>
    <t>3. Convertir en factor</t>
  </si>
  <si>
    <t>w(j) = MIN(1 ; R(j) / 0,80)</t>
  </si>
  <si>
    <t>Continua y acotada en [0,1], sin bandas ni escalones. El 0,80 es una franja de indiferencia: hasta un 20 % de desigualdad percibida no penaliza.</t>
  </si>
  <si>
    <t>Aplicación a la nota:   Nota individual del proyecto grupal = Nota del equipo × w</t>
  </si>
  <si>
    <t>SALVAGUARDA: ningún w &lt; 1 se aplica solo con los votos. El profesorado lo contrasta con la bitácora y el historial de contribución (commits, versiones, actas) antes de fijarlo. No entregar bitácora o coevaluación limita w a un máximo de 0,80. En equipos de DOS la mediana degenera en media: cualquier w &lt; 1 pasa a revisión.</t>
  </si>
  <si>
    <t>Calculadora · equipo de 3 (rellena solo las celdas amarillas)</t>
  </si>
  <si>
    <t>Equipo:</t>
  </si>
  <si>
    <t>Proyecto:</t>
  </si>
  <si>
    <t>Evaluador (i)</t>
  </si>
  <si>
    <t>Evaluado (j)</t>
  </si>
  <si>
    <t>P1 (0–3)</t>
  </si>
  <si>
    <t>P2 (0–3)</t>
  </si>
  <si>
    <t>s(i→j)</t>
  </si>
  <si>
    <t>media de i</t>
  </si>
  <si>
    <t>ω(i→j)</t>
  </si>
  <si>
    <t>Nombre A</t>
  </si>
  <si>
    <t>Estudiante A</t>
  </si>
  <si>
    <t>Estudiante B</t>
  </si>
  <si>
    <t>Estudiante C</t>
  </si>
  <si>
    <t>Nombre B</t>
  </si>
  <si>
    <t>Nombre C</t>
  </si>
  <si>
    <t>Resultado</t>
  </si>
  <si>
    <t>Estudiante</t>
  </si>
  <si>
    <t>R(j) = mediana de los ω recibidos</t>
  </si>
  <si>
    <t>w = MIN(1 ; R/0,80)</t>
  </si>
  <si>
    <t>Nota del equipo</t>
  </si>
  <si>
    <t>Nota individual</t>
  </si>
  <si>
    <t>Amarillo = se rellena a mano.  Gris = cálculo intermedio.  Verde = resultado.  Los ω de cada evaluador suman 3 por construcción: nadie puede subir o bajar al equipo entero, solo repartir.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</si>
</sst>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Arial"/>
    </font>
    <font>
      <sz val="11"/>
      <color theme="1"/>
      <name val="Calibri"/>
    </font>
    <font>
      <i/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b/>
      <sz val="14"/>
      <color theme="1"/>
      <name val="Calibri"/>
    </font>
    <font>
      <sz val="9"/>
      <color theme="1"/>
      <name val="Calibri"/>
    </font>
    <font>
      <b/>
      <sz val="11"/>
      <color theme="1"/>
      <name val="Calibri"/>
    </font>
    <font>
      <sz val="11"/>
      <color rgb="FF000000"/>
      <name val="Arial"/>
    </font>
    <font>
      <b/>
      <sz val="11"/>
      <color rgb="FFFFFFFF"/>
      <name val="Calibri"/>
    </font>
    <font>
      <b/>
      <sz val="11"/>
      <color rgb="FFFFFFFF"/>
      <name val="Arial"/>
    </font>
    <font>
      <sz val="9"/>
      <color theme="1"/>
      <name val="Arial"/>
    </font>
    <font>
      <b/>
      <sz val="11"/>
      <color rgb="FF0000FF"/>
      <name val="Arial"/>
    </font>
    <font>
      <i/>
      <sz val="9"/>
      <color theme="1"/>
      <name val="Arial"/>
    </font>
    <font>
      <b/>
      <sz val="14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sz val="10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2E5496"/>
        <bgColor rgb="FF2E5496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wrapText="1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10" fontId="6" fillId="0" borderId="0" xfId="0" applyNumberFormat="1" applyFont="1"/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9" fontId="7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vertical="top" wrapText="1"/>
    </xf>
    <xf numFmtId="0" fontId="15" fillId="5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top" wrapText="1"/>
    </xf>
    <xf numFmtId="0" fontId="19" fillId="6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21" fillId="0" borderId="0" xfId="0" applyFont="1" applyAlignment="1">
      <alignment vertical="top" wrapText="1"/>
    </xf>
    <xf numFmtId="0" fontId="22" fillId="0" borderId="5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7" borderId="5" xfId="0" applyFill="1" applyBorder="1" applyAlignment="1">
      <alignment horizontal="center" vertical="center"/>
    </xf>
    <xf numFmtId="2" fontId="0" fillId="8" borderId="5" xfId="0" applyNumberFormat="1" applyFill="1" applyBorder="1" applyAlignment="1">
      <alignment horizontal="center" vertical="center"/>
    </xf>
    <xf numFmtId="164" fontId="0" fillId="8" borderId="5" xfId="0" applyNumberForma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2" fontId="20" fillId="9" borderId="5" xfId="0" applyNumberFormat="1" applyFont="1" applyFill="1" applyBorder="1" applyAlignment="1">
      <alignment horizontal="center" vertical="center"/>
    </xf>
    <xf numFmtId="2" fontId="0" fillId="7" borderId="5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top" wrapText="1"/>
    </xf>
    <xf numFmtId="0" fontId="8" fillId="0" borderId="0" xfId="0" applyFont="1"/>
    <xf numFmtId="0" fontId="1" fillId="0" borderId="0" xfId="0" applyFont="1" applyAlignment="1">
      <alignment horizontal="center" wrapText="1"/>
    </xf>
    <xf numFmtId="0" fontId="3" fillId="5" borderId="4" xfId="0" applyFont="1" applyFill="1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16" fillId="0" borderId="0" xfId="0" applyFont="1" applyAlignment="1">
      <alignment vertical="top" wrapText="1"/>
    </xf>
    <xf numFmtId="0" fontId="2" fillId="0" borderId="0" xfId="0" applyFont="1"/>
    <xf numFmtId="0" fontId="18" fillId="0" borderId="0" xfId="0" applyFont="1" applyAlignment="1">
      <alignment vertical="top" wrapText="1"/>
    </xf>
    <xf numFmtId="0" fontId="0" fillId="7" borderId="5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2" fontId="0" fillId="8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A12" sqref="A12"/>
    </sheetView>
  </sheetViews>
  <sheetFormatPr baseColWidth="10" defaultColWidth="14.5" defaultRowHeight="15" customHeight="1" x14ac:dyDescent="0.2"/>
  <cols>
    <col min="1" max="1" width="90" customWidth="1"/>
    <col min="2" max="6" width="8.6640625" customWidth="1"/>
  </cols>
  <sheetData>
    <row r="1" spans="1:1" ht="17.25" customHeight="1" x14ac:dyDescent="0.2">
      <c r="A1" s="2" t="s">
        <v>35</v>
      </c>
    </row>
    <row r="2" spans="1:1" x14ac:dyDescent="0.2">
      <c r="A2" s="4"/>
    </row>
    <row r="3" spans="1:1" ht="15" customHeight="1" x14ac:dyDescent="0.2">
      <c r="A3" s="6" t="s">
        <v>36</v>
      </c>
    </row>
    <row r="4" spans="1:1" x14ac:dyDescent="0.2">
      <c r="A4" s="4"/>
    </row>
    <row r="5" spans="1:1" ht="15" customHeight="1" x14ac:dyDescent="0.2">
      <c r="A5" s="9" t="s">
        <v>37</v>
      </c>
    </row>
    <row r="6" spans="1:1" ht="15" customHeight="1" x14ac:dyDescent="0.2">
      <c r="A6" s="12" t="s">
        <v>38</v>
      </c>
    </row>
    <row r="7" spans="1:1" x14ac:dyDescent="0.2">
      <c r="A7" s="4" t="s">
        <v>39</v>
      </c>
    </row>
    <row r="8" spans="1:1" x14ac:dyDescent="0.2">
      <c r="A8" s="4" t="s">
        <v>40</v>
      </c>
    </row>
    <row r="9" spans="1:1" x14ac:dyDescent="0.2">
      <c r="A9" s="4" t="s">
        <v>41</v>
      </c>
    </row>
    <row r="10" spans="1:1" x14ac:dyDescent="0.2">
      <c r="A10" s="11" t="s">
        <v>42</v>
      </c>
    </row>
    <row r="11" spans="1:1" x14ac:dyDescent="0.2">
      <c r="A11" s="11" t="s">
        <v>43</v>
      </c>
    </row>
    <row r="12" spans="1:1" x14ac:dyDescent="0.2">
      <c r="A12" s="4"/>
    </row>
    <row r="13" spans="1:1" x14ac:dyDescent="0.2">
      <c r="A13" s="4"/>
    </row>
    <row r="14" spans="1:1" x14ac:dyDescent="0.2">
      <c r="A14" s="4"/>
    </row>
    <row r="15" spans="1:1" x14ac:dyDescent="0.2">
      <c r="A15" s="4"/>
    </row>
    <row r="16" spans="1:1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ht="15.75" customHeight="1" x14ac:dyDescent="0.2">
      <c r="A21" s="4"/>
    </row>
    <row r="22" spans="1:1" ht="15.75" customHeight="1" x14ac:dyDescent="0.2">
      <c r="A22" s="4"/>
    </row>
    <row r="23" spans="1:1" ht="15.75" customHeight="1" x14ac:dyDescent="0.2">
      <c r="A23" s="4"/>
    </row>
    <row r="24" spans="1:1" ht="15.75" customHeight="1" x14ac:dyDescent="0.2">
      <c r="A24" s="4"/>
    </row>
    <row r="25" spans="1:1" ht="15.75" customHeight="1" x14ac:dyDescent="0.2">
      <c r="A25" s="4"/>
    </row>
    <row r="26" spans="1:1" ht="15.75" customHeight="1" x14ac:dyDescent="0.2">
      <c r="A26" s="4"/>
    </row>
    <row r="27" spans="1:1" ht="15.75" customHeight="1" x14ac:dyDescent="0.2">
      <c r="A27" s="4"/>
    </row>
    <row r="28" spans="1:1" ht="15.75" customHeight="1" x14ac:dyDescent="0.2">
      <c r="A28" s="4"/>
    </row>
    <row r="29" spans="1:1" ht="15.75" customHeight="1" x14ac:dyDescent="0.2">
      <c r="A29" s="4"/>
    </row>
    <row r="30" spans="1:1" ht="15.75" customHeight="1" x14ac:dyDescent="0.2">
      <c r="A30" s="4"/>
    </row>
    <row r="31" spans="1:1" ht="15.75" customHeight="1" x14ac:dyDescent="0.2">
      <c r="A31" s="4"/>
    </row>
    <row r="32" spans="1:1" ht="15.75" customHeight="1" x14ac:dyDescent="0.2">
      <c r="A32" s="4"/>
    </row>
    <row r="33" spans="1:1" ht="15.75" customHeight="1" x14ac:dyDescent="0.2">
      <c r="A33" s="4"/>
    </row>
    <row r="34" spans="1:1" ht="15.75" customHeight="1" x14ac:dyDescent="0.2">
      <c r="A34" s="4"/>
    </row>
    <row r="35" spans="1:1" ht="15.75" customHeight="1" x14ac:dyDescent="0.2">
      <c r="A35" s="4"/>
    </row>
    <row r="36" spans="1:1" ht="15.75" customHeight="1" x14ac:dyDescent="0.2">
      <c r="A36" s="4"/>
    </row>
    <row r="37" spans="1:1" ht="15.75" customHeight="1" x14ac:dyDescent="0.2">
      <c r="A37" s="4"/>
    </row>
    <row r="38" spans="1:1" ht="15.75" customHeight="1" x14ac:dyDescent="0.2">
      <c r="A38" s="4"/>
    </row>
    <row r="39" spans="1:1" ht="15.75" customHeight="1" x14ac:dyDescent="0.2">
      <c r="A39" s="4"/>
    </row>
    <row r="40" spans="1:1" ht="15.75" customHeight="1" x14ac:dyDescent="0.2">
      <c r="A40" s="4"/>
    </row>
    <row r="41" spans="1:1" ht="15.75" customHeight="1" x14ac:dyDescent="0.2">
      <c r="A41" s="4"/>
    </row>
    <row r="42" spans="1:1" ht="15.75" customHeight="1" x14ac:dyDescent="0.2">
      <c r="A42" s="4"/>
    </row>
    <row r="43" spans="1:1" ht="15.75" customHeight="1" x14ac:dyDescent="0.2">
      <c r="A43" s="4"/>
    </row>
    <row r="44" spans="1:1" ht="15.75" customHeight="1" x14ac:dyDescent="0.2">
      <c r="A44" s="4"/>
    </row>
    <row r="45" spans="1:1" ht="15.75" customHeight="1" x14ac:dyDescent="0.2">
      <c r="A45" s="4"/>
    </row>
    <row r="46" spans="1:1" ht="15.75" customHeight="1" x14ac:dyDescent="0.2">
      <c r="A46" s="4"/>
    </row>
    <row r="47" spans="1:1" ht="15.75" customHeight="1" x14ac:dyDescent="0.2">
      <c r="A47" s="4"/>
    </row>
    <row r="48" spans="1:1" ht="15.75" customHeight="1" x14ac:dyDescent="0.2">
      <c r="A48" s="4"/>
    </row>
    <row r="49" spans="1:1" ht="15.75" customHeight="1" x14ac:dyDescent="0.2">
      <c r="A49" s="4"/>
    </row>
    <row r="50" spans="1:1" ht="15.75" customHeight="1" x14ac:dyDescent="0.2">
      <c r="A50" s="4"/>
    </row>
    <row r="51" spans="1:1" ht="15.75" customHeight="1" x14ac:dyDescent="0.2">
      <c r="A51" s="4"/>
    </row>
    <row r="52" spans="1:1" ht="15.75" customHeight="1" x14ac:dyDescent="0.2">
      <c r="A52" s="4"/>
    </row>
    <row r="53" spans="1:1" ht="15.75" customHeight="1" x14ac:dyDescent="0.2">
      <c r="A53" s="4"/>
    </row>
    <row r="54" spans="1:1" ht="15.75" customHeight="1" x14ac:dyDescent="0.2">
      <c r="A54" s="4"/>
    </row>
    <row r="55" spans="1:1" ht="15.75" customHeight="1" x14ac:dyDescent="0.2">
      <c r="A55" s="4"/>
    </row>
    <row r="56" spans="1:1" ht="15.75" customHeight="1" x14ac:dyDescent="0.2">
      <c r="A56" s="4"/>
    </row>
    <row r="57" spans="1:1" ht="15.75" customHeight="1" x14ac:dyDescent="0.2">
      <c r="A57" s="4"/>
    </row>
    <row r="58" spans="1:1" ht="15.75" customHeight="1" x14ac:dyDescent="0.2">
      <c r="A58" s="4"/>
    </row>
    <row r="59" spans="1:1" ht="15.75" customHeight="1" x14ac:dyDescent="0.2">
      <c r="A59" s="4"/>
    </row>
    <row r="60" spans="1:1" ht="15.75" customHeight="1" x14ac:dyDescent="0.2">
      <c r="A60" s="4"/>
    </row>
    <row r="61" spans="1:1" ht="15.75" customHeight="1" x14ac:dyDescent="0.2">
      <c r="A61" s="4"/>
    </row>
    <row r="62" spans="1:1" ht="15.75" customHeight="1" x14ac:dyDescent="0.2">
      <c r="A62" s="4"/>
    </row>
    <row r="63" spans="1:1" ht="15.75" customHeight="1" x14ac:dyDescent="0.2">
      <c r="A63" s="4"/>
    </row>
    <row r="64" spans="1:1" ht="15.75" customHeight="1" x14ac:dyDescent="0.2">
      <c r="A64" s="4"/>
    </row>
    <row r="65" spans="1:1" ht="15.75" customHeight="1" x14ac:dyDescent="0.2">
      <c r="A65" s="4"/>
    </row>
    <row r="66" spans="1:1" ht="15.75" customHeight="1" x14ac:dyDescent="0.2">
      <c r="A66" s="4"/>
    </row>
    <row r="67" spans="1:1" ht="15.75" customHeight="1" x14ac:dyDescent="0.2">
      <c r="A67" s="4"/>
    </row>
    <row r="68" spans="1:1" ht="15.75" customHeight="1" x14ac:dyDescent="0.2">
      <c r="A68" s="4"/>
    </row>
    <row r="69" spans="1:1" ht="15.75" customHeight="1" x14ac:dyDescent="0.2">
      <c r="A69" s="4"/>
    </row>
    <row r="70" spans="1:1" ht="15.75" customHeight="1" x14ac:dyDescent="0.2">
      <c r="A70" s="4"/>
    </row>
    <row r="71" spans="1:1" ht="15.75" customHeight="1" x14ac:dyDescent="0.2">
      <c r="A71" s="4"/>
    </row>
    <row r="72" spans="1:1" ht="15.75" customHeight="1" x14ac:dyDescent="0.2">
      <c r="A72" s="4"/>
    </row>
    <row r="73" spans="1:1" ht="15.75" customHeight="1" x14ac:dyDescent="0.2">
      <c r="A73" s="4"/>
    </row>
    <row r="74" spans="1:1" ht="15.75" customHeight="1" x14ac:dyDescent="0.2">
      <c r="A74" s="4"/>
    </row>
    <row r="75" spans="1:1" ht="15.75" customHeight="1" x14ac:dyDescent="0.2">
      <c r="A75" s="4"/>
    </row>
    <row r="76" spans="1:1" ht="15.75" customHeight="1" x14ac:dyDescent="0.2">
      <c r="A76" s="4"/>
    </row>
    <row r="77" spans="1:1" ht="15.75" customHeight="1" x14ac:dyDescent="0.2">
      <c r="A77" s="4"/>
    </row>
    <row r="78" spans="1:1" ht="15.75" customHeight="1" x14ac:dyDescent="0.2">
      <c r="A78" s="4"/>
    </row>
    <row r="79" spans="1:1" ht="15.75" customHeight="1" x14ac:dyDescent="0.2">
      <c r="A79" s="4"/>
    </row>
    <row r="80" spans="1:1" ht="15.75" customHeight="1" x14ac:dyDescent="0.2">
      <c r="A80" s="4"/>
    </row>
    <row r="81" spans="1:1" ht="15.75" customHeight="1" x14ac:dyDescent="0.2">
      <c r="A81" s="4"/>
    </row>
    <row r="82" spans="1:1" ht="15.75" customHeight="1" x14ac:dyDescent="0.2">
      <c r="A82" s="4"/>
    </row>
    <row r="83" spans="1:1" ht="15.75" customHeight="1" x14ac:dyDescent="0.2">
      <c r="A83" s="4"/>
    </row>
    <row r="84" spans="1:1" ht="15.75" customHeight="1" x14ac:dyDescent="0.2">
      <c r="A84" s="4"/>
    </row>
    <row r="85" spans="1:1" ht="15.75" customHeight="1" x14ac:dyDescent="0.2">
      <c r="A85" s="4"/>
    </row>
    <row r="86" spans="1:1" ht="15.75" customHeight="1" x14ac:dyDescent="0.2">
      <c r="A86" s="4"/>
    </row>
    <row r="87" spans="1:1" ht="15.75" customHeight="1" x14ac:dyDescent="0.2">
      <c r="A87" s="4"/>
    </row>
    <row r="88" spans="1:1" ht="15.75" customHeight="1" x14ac:dyDescent="0.2">
      <c r="A88" s="4"/>
    </row>
    <row r="89" spans="1:1" ht="15.75" customHeight="1" x14ac:dyDescent="0.2">
      <c r="A89" s="4"/>
    </row>
    <row r="90" spans="1:1" ht="15.75" customHeight="1" x14ac:dyDescent="0.2">
      <c r="A90" s="4"/>
    </row>
    <row r="91" spans="1:1" ht="15.75" customHeight="1" x14ac:dyDescent="0.2">
      <c r="A91" s="4"/>
    </row>
    <row r="92" spans="1:1" ht="15.75" customHeight="1" x14ac:dyDescent="0.2">
      <c r="A92" s="4"/>
    </row>
    <row r="93" spans="1:1" ht="15.75" customHeight="1" x14ac:dyDescent="0.2">
      <c r="A93" s="4"/>
    </row>
    <row r="94" spans="1:1" ht="15.75" customHeight="1" x14ac:dyDescent="0.2">
      <c r="A94" s="4"/>
    </row>
    <row r="95" spans="1:1" ht="15.75" customHeight="1" x14ac:dyDescent="0.2">
      <c r="A95" s="4"/>
    </row>
    <row r="96" spans="1:1" ht="15.75" customHeight="1" x14ac:dyDescent="0.2">
      <c r="A96" s="4"/>
    </row>
    <row r="97" spans="1:1" ht="15.75" customHeight="1" x14ac:dyDescent="0.2">
      <c r="A97" s="4"/>
    </row>
    <row r="98" spans="1:1" ht="15.75" customHeight="1" x14ac:dyDescent="0.2">
      <c r="A98" s="4"/>
    </row>
    <row r="99" spans="1:1" ht="15.75" customHeight="1" x14ac:dyDescent="0.2">
      <c r="A99" s="4"/>
    </row>
    <row r="100" spans="1:1" ht="15.75" customHeight="1" x14ac:dyDescent="0.2">
      <c r="A100" s="4"/>
    </row>
    <row r="101" spans="1:1" ht="15.75" customHeight="1" x14ac:dyDescent="0.2">
      <c r="A101" s="4"/>
    </row>
    <row r="102" spans="1:1" ht="15.75" customHeight="1" x14ac:dyDescent="0.2">
      <c r="A102" s="4"/>
    </row>
    <row r="103" spans="1:1" ht="15.75" customHeight="1" x14ac:dyDescent="0.2">
      <c r="A103" s="4"/>
    </row>
    <row r="104" spans="1:1" ht="15.75" customHeight="1" x14ac:dyDescent="0.2">
      <c r="A104" s="4"/>
    </row>
    <row r="105" spans="1:1" ht="15.75" customHeight="1" x14ac:dyDescent="0.2">
      <c r="A105" s="4"/>
    </row>
    <row r="106" spans="1:1" ht="15.75" customHeight="1" x14ac:dyDescent="0.2">
      <c r="A106" s="4"/>
    </row>
    <row r="107" spans="1:1" ht="15.75" customHeight="1" x14ac:dyDescent="0.2">
      <c r="A107" s="4"/>
    </row>
    <row r="108" spans="1:1" ht="15.75" customHeight="1" x14ac:dyDescent="0.2">
      <c r="A108" s="4"/>
    </row>
    <row r="109" spans="1:1" ht="15.75" customHeight="1" x14ac:dyDescent="0.2">
      <c r="A109" s="4"/>
    </row>
    <row r="110" spans="1:1" ht="15.75" customHeight="1" x14ac:dyDescent="0.2">
      <c r="A110" s="4"/>
    </row>
    <row r="111" spans="1:1" ht="15.75" customHeight="1" x14ac:dyDescent="0.2">
      <c r="A111" s="4"/>
    </row>
    <row r="112" spans="1:1" ht="15.75" customHeight="1" x14ac:dyDescent="0.2">
      <c r="A112" s="4"/>
    </row>
    <row r="113" spans="1:1" ht="15.75" customHeight="1" x14ac:dyDescent="0.2">
      <c r="A113" s="4"/>
    </row>
    <row r="114" spans="1:1" ht="15.75" customHeight="1" x14ac:dyDescent="0.2">
      <c r="A114" s="4"/>
    </row>
    <row r="115" spans="1:1" ht="15.75" customHeight="1" x14ac:dyDescent="0.2">
      <c r="A115" s="4"/>
    </row>
    <row r="116" spans="1:1" ht="15.75" customHeight="1" x14ac:dyDescent="0.2">
      <c r="A116" s="4"/>
    </row>
    <row r="117" spans="1:1" ht="15.75" customHeight="1" x14ac:dyDescent="0.2">
      <c r="A117" s="4"/>
    </row>
    <row r="118" spans="1:1" ht="15.75" customHeight="1" x14ac:dyDescent="0.2">
      <c r="A118" s="4"/>
    </row>
    <row r="119" spans="1:1" ht="15.75" customHeight="1" x14ac:dyDescent="0.2">
      <c r="A119" s="4"/>
    </row>
    <row r="120" spans="1:1" ht="15.75" customHeight="1" x14ac:dyDescent="0.2">
      <c r="A120" s="4"/>
    </row>
    <row r="121" spans="1:1" ht="15.75" customHeight="1" x14ac:dyDescent="0.2">
      <c r="A121" s="4"/>
    </row>
    <row r="122" spans="1:1" ht="15.75" customHeight="1" x14ac:dyDescent="0.2">
      <c r="A122" s="4"/>
    </row>
    <row r="123" spans="1:1" ht="15.75" customHeight="1" x14ac:dyDescent="0.2">
      <c r="A123" s="4"/>
    </row>
    <row r="124" spans="1:1" ht="15.75" customHeight="1" x14ac:dyDescent="0.2">
      <c r="A124" s="4"/>
    </row>
    <row r="125" spans="1:1" ht="15.75" customHeight="1" x14ac:dyDescent="0.2">
      <c r="A125" s="4"/>
    </row>
    <row r="126" spans="1:1" ht="15.75" customHeight="1" x14ac:dyDescent="0.2">
      <c r="A126" s="4"/>
    </row>
    <row r="127" spans="1:1" ht="15.75" customHeight="1" x14ac:dyDescent="0.2">
      <c r="A127" s="4"/>
    </row>
    <row r="128" spans="1:1" ht="15.75" customHeight="1" x14ac:dyDescent="0.2">
      <c r="A128" s="4"/>
    </row>
    <row r="129" spans="1:1" ht="15.75" customHeight="1" x14ac:dyDescent="0.2">
      <c r="A129" s="4"/>
    </row>
    <row r="130" spans="1:1" ht="15.75" customHeight="1" x14ac:dyDescent="0.2">
      <c r="A130" s="4"/>
    </row>
    <row r="131" spans="1:1" ht="15.75" customHeight="1" x14ac:dyDescent="0.2">
      <c r="A131" s="4"/>
    </row>
    <row r="132" spans="1:1" ht="15.75" customHeight="1" x14ac:dyDescent="0.2">
      <c r="A132" s="4"/>
    </row>
    <row r="133" spans="1:1" ht="15.75" customHeight="1" x14ac:dyDescent="0.2">
      <c r="A133" s="4"/>
    </row>
    <row r="134" spans="1:1" ht="15.75" customHeight="1" x14ac:dyDescent="0.2">
      <c r="A134" s="4"/>
    </row>
    <row r="135" spans="1:1" ht="15.75" customHeight="1" x14ac:dyDescent="0.2">
      <c r="A135" s="4"/>
    </row>
    <row r="136" spans="1:1" ht="15.75" customHeight="1" x14ac:dyDescent="0.2">
      <c r="A136" s="4"/>
    </row>
    <row r="137" spans="1:1" ht="15.75" customHeight="1" x14ac:dyDescent="0.2">
      <c r="A137" s="4"/>
    </row>
    <row r="138" spans="1:1" ht="15.75" customHeight="1" x14ac:dyDescent="0.2">
      <c r="A138" s="4"/>
    </row>
    <row r="139" spans="1:1" ht="15.75" customHeight="1" x14ac:dyDescent="0.2">
      <c r="A139" s="4"/>
    </row>
    <row r="140" spans="1:1" ht="15.75" customHeight="1" x14ac:dyDescent="0.2">
      <c r="A140" s="4"/>
    </row>
    <row r="141" spans="1:1" ht="15.75" customHeight="1" x14ac:dyDescent="0.2">
      <c r="A141" s="4"/>
    </row>
    <row r="142" spans="1:1" ht="15.75" customHeight="1" x14ac:dyDescent="0.2">
      <c r="A142" s="4"/>
    </row>
    <row r="143" spans="1:1" ht="15.75" customHeight="1" x14ac:dyDescent="0.2">
      <c r="A143" s="4"/>
    </row>
    <row r="144" spans="1:1" ht="15.75" customHeight="1" x14ac:dyDescent="0.2">
      <c r="A144" s="4"/>
    </row>
    <row r="145" spans="1:1" ht="15.75" customHeight="1" x14ac:dyDescent="0.2">
      <c r="A145" s="4"/>
    </row>
    <row r="146" spans="1:1" ht="15.75" customHeight="1" x14ac:dyDescent="0.2">
      <c r="A146" s="4"/>
    </row>
    <row r="147" spans="1:1" ht="15.75" customHeight="1" x14ac:dyDescent="0.2">
      <c r="A147" s="4"/>
    </row>
    <row r="148" spans="1:1" ht="15.75" customHeight="1" x14ac:dyDescent="0.2">
      <c r="A148" s="4"/>
    </row>
    <row r="149" spans="1:1" ht="15.75" customHeight="1" x14ac:dyDescent="0.2">
      <c r="A149" s="4"/>
    </row>
    <row r="150" spans="1:1" ht="15.75" customHeight="1" x14ac:dyDescent="0.2">
      <c r="A150" s="4"/>
    </row>
    <row r="151" spans="1:1" ht="15.75" customHeight="1" x14ac:dyDescent="0.2">
      <c r="A151" s="4"/>
    </row>
    <row r="152" spans="1:1" ht="15.75" customHeight="1" x14ac:dyDescent="0.2">
      <c r="A152" s="4"/>
    </row>
    <row r="153" spans="1:1" ht="15.75" customHeight="1" x14ac:dyDescent="0.2">
      <c r="A153" s="4"/>
    </row>
    <row r="154" spans="1:1" ht="15.75" customHeight="1" x14ac:dyDescent="0.2">
      <c r="A154" s="4"/>
    </row>
    <row r="155" spans="1:1" ht="15.75" customHeight="1" x14ac:dyDescent="0.2">
      <c r="A155" s="4"/>
    </row>
    <row r="156" spans="1:1" ht="15.75" customHeight="1" x14ac:dyDescent="0.2">
      <c r="A156" s="4"/>
    </row>
    <row r="157" spans="1:1" ht="15.75" customHeight="1" x14ac:dyDescent="0.2">
      <c r="A157" s="4"/>
    </row>
    <row r="158" spans="1:1" ht="15.75" customHeight="1" x14ac:dyDescent="0.2">
      <c r="A158" s="4"/>
    </row>
    <row r="159" spans="1:1" ht="15.75" customHeight="1" x14ac:dyDescent="0.2">
      <c r="A159" s="4"/>
    </row>
    <row r="160" spans="1:1" ht="15.75" customHeight="1" x14ac:dyDescent="0.2">
      <c r="A160" s="4"/>
    </row>
    <row r="161" spans="1:1" ht="15.75" customHeight="1" x14ac:dyDescent="0.2">
      <c r="A161" s="4"/>
    </row>
    <row r="162" spans="1:1" ht="15.75" customHeight="1" x14ac:dyDescent="0.2">
      <c r="A162" s="4"/>
    </row>
    <row r="163" spans="1:1" ht="15.75" customHeight="1" x14ac:dyDescent="0.2">
      <c r="A163" s="4"/>
    </row>
    <row r="164" spans="1:1" ht="15.75" customHeight="1" x14ac:dyDescent="0.2">
      <c r="A164" s="4"/>
    </row>
    <row r="165" spans="1:1" ht="15.75" customHeight="1" x14ac:dyDescent="0.2">
      <c r="A165" s="4"/>
    </row>
    <row r="166" spans="1:1" ht="15.75" customHeight="1" x14ac:dyDescent="0.2">
      <c r="A166" s="4"/>
    </row>
    <row r="167" spans="1:1" ht="15.75" customHeight="1" x14ac:dyDescent="0.2">
      <c r="A167" s="4"/>
    </row>
    <row r="168" spans="1:1" ht="15.75" customHeight="1" x14ac:dyDescent="0.2">
      <c r="A168" s="4"/>
    </row>
    <row r="169" spans="1:1" ht="15.75" customHeight="1" x14ac:dyDescent="0.2">
      <c r="A169" s="4"/>
    </row>
    <row r="170" spans="1:1" ht="15.75" customHeight="1" x14ac:dyDescent="0.2">
      <c r="A170" s="4"/>
    </row>
    <row r="171" spans="1:1" ht="15.75" customHeight="1" x14ac:dyDescent="0.2">
      <c r="A171" s="4"/>
    </row>
    <row r="172" spans="1:1" ht="15.75" customHeight="1" x14ac:dyDescent="0.2">
      <c r="A172" s="4"/>
    </row>
    <row r="173" spans="1:1" ht="15.75" customHeight="1" x14ac:dyDescent="0.2">
      <c r="A173" s="4"/>
    </row>
    <row r="174" spans="1:1" ht="15.75" customHeight="1" x14ac:dyDescent="0.2">
      <c r="A174" s="4"/>
    </row>
    <row r="175" spans="1:1" ht="15.75" customHeight="1" x14ac:dyDescent="0.2">
      <c r="A175" s="4"/>
    </row>
    <row r="176" spans="1:1" ht="15.75" customHeight="1" x14ac:dyDescent="0.2">
      <c r="A176" s="4"/>
    </row>
    <row r="177" spans="1:1" ht="15.75" customHeight="1" x14ac:dyDescent="0.2">
      <c r="A177" s="4"/>
    </row>
    <row r="178" spans="1:1" ht="15.75" customHeight="1" x14ac:dyDescent="0.2">
      <c r="A178" s="4"/>
    </row>
    <row r="179" spans="1:1" ht="15.75" customHeight="1" x14ac:dyDescent="0.2">
      <c r="A179" s="4"/>
    </row>
    <row r="180" spans="1:1" ht="15.75" customHeight="1" x14ac:dyDescent="0.2">
      <c r="A180" s="4"/>
    </row>
    <row r="181" spans="1:1" ht="15.75" customHeight="1" x14ac:dyDescent="0.2">
      <c r="A181" s="4"/>
    </row>
    <row r="182" spans="1:1" ht="15.75" customHeight="1" x14ac:dyDescent="0.2">
      <c r="A182" s="4"/>
    </row>
    <row r="183" spans="1:1" ht="15.75" customHeight="1" x14ac:dyDescent="0.2">
      <c r="A183" s="4"/>
    </row>
    <row r="184" spans="1:1" ht="15.75" customHeight="1" x14ac:dyDescent="0.2">
      <c r="A184" s="4"/>
    </row>
    <row r="185" spans="1:1" ht="15.75" customHeight="1" x14ac:dyDescent="0.2">
      <c r="A185" s="4"/>
    </row>
    <row r="186" spans="1:1" ht="15.75" customHeight="1" x14ac:dyDescent="0.2">
      <c r="A186" s="4"/>
    </row>
    <row r="187" spans="1:1" ht="15.75" customHeight="1" x14ac:dyDescent="0.2">
      <c r="A187" s="4"/>
    </row>
    <row r="188" spans="1:1" ht="15.75" customHeight="1" x14ac:dyDescent="0.2">
      <c r="A188" s="4"/>
    </row>
    <row r="189" spans="1:1" ht="15.75" customHeight="1" x14ac:dyDescent="0.2">
      <c r="A189" s="4"/>
    </row>
    <row r="190" spans="1:1" ht="15.75" customHeight="1" x14ac:dyDescent="0.2">
      <c r="A190" s="4"/>
    </row>
    <row r="191" spans="1:1" ht="15.75" customHeight="1" x14ac:dyDescent="0.2">
      <c r="A191" s="4"/>
    </row>
    <row r="192" spans="1:1" ht="15.75" customHeight="1" x14ac:dyDescent="0.2">
      <c r="A192" s="4"/>
    </row>
    <row r="193" spans="1:1" ht="15.75" customHeight="1" x14ac:dyDescent="0.2">
      <c r="A193" s="4"/>
    </row>
    <row r="194" spans="1:1" ht="15.75" customHeight="1" x14ac:dyDescent="0.2">
      <c r="A194" s="4"/>
    </row>
    <row r="195" spans="1:1" ht="15.75" customHeight="1" x14ac:dyDescent="0.2">
      <c r="A195" s="4"/>
    </row>
    <row r="196" spans="1:1" ht="15.75" customHeight="1" x14ac:dyDescent="0.2">
      <c r="A196" s="4"/>
    </row>
    <row r="197" spans="1:1" ht="15.75" customHeight="1" x14ac:dyDescent="0.2">
      <c r="A197" s="4"/>
    </row>
    <row r="198" spans="1:1" ht="15.75" customHeight="1" x14ac:dyDescent="0.2">
      <c r="A198" s="4"/>
    </row>
    <row r="199" spans="1:1" ht="15.75" customHeight="1" x14ac:dyDescent="0.2">
      <c r="A199" s="4"/>
    </row>
    <row r="200" spans="1:1" ht="15.75" customHeight="1" x14ac:dyDescent="0.2">
      <c r="A200" s="4"/>
    </row>
    <row r="201" spans="1:1" ht="15.75" customHeight="1" x14ac:dyDescent="0.2">
      <c r="A201" s="4"/>
    </row>
    <row r="202" spans="1:1" ht="15.75" customHeight="1" x14ac:dyDescent="0.2">
      <c r="A202" s="4"/>
    </row>
    <row r="203" spans="1:1" ht="15.75" customHeight="1" x14ac:dyDescent="0.2">
      <c r="A203" s="4"/>
    </row>
    <row r="204" spans="1:1" ht="15.75" customHeight="1" x14ac:dyDescent="0.2">
      <c r="A204" s="4"/>
    </row>
    <row r="205" spans="1:1" ht="15.75" customHeight="1" x14ac:dyDescent="0.2">
      <c r="A205" s="4"/>
    </row>
    <row r="206" spans="1:1" ht="15.75" customHeight="1" x14ac:dyDescent="0.2">
      <c r="A206" s="4"/>
    </row>
    <row r="207" spans="1:1" ht="15.75" customHeight="1" x14ac:dyDescent="0.2">
      <c r="A207" s="4"/>
    </row>
    <row r="208" spans="1:1" ht="15.75" customHeight="1" x14ac:dyDescent="0.2">
      <c r="A208" s="4"/>
    </row>
    <row r="209" spans="1:1" ht="15.75" customHeight="1" x14ac:dyDescent="0.2">
      <c r="A209" s="4"/>
    </row>
    <row r="210" spans="1:1" ht="15.75" customHeight="1" x14ac:dyDescent="0.2">
      <c r="A210" s="4"/>
    </row>
    <row r="211" spans="1:1" ht="15.75" customHeight="1" x14ac:dyDescent="0.2">
      <c r="A211" s="4"/>
    </row>
    <row r="212" spans="1:1" ht="15.75" customHeight="1" x14ac:dyDescent="0.2">
      <c r="A212" s="4"/>
    </row>
    <row r="213" spans="1:1" ht="15.75" customHeight="1" x14ac:dyDescent="0.2">
      <c r="A213" s="4"/>
    </row>
    <row r="214" spans="1:1" ht="15.75" customHeight="1" x14ac:dyDescent="0.2">
      <c r="A214" s="4"/>
    </row>
    <row r="215" spans="1:1" ht="15.75" customHeight="1" x14ac:dyDescent="0.2">
      <c r="A215" s="4"/>
    </row>
    <row r="216" spans="1:1" ht="15.75" customHeight="1" x14ac:dyDescent="0.2">
      <c r="A216" s="4"/>
    </row>
    <row r="217" spans="1:1" ht="15.75" customHeight="1" x14ac:dyDescent="0.2">
      <c r="A217" s="4"/>
    </row>
    <row r="218" spans="1:1" ht="15.75" customHeight="1" x14ac:dyDescent="0.2">
      <c r="A218" s="4"/>
    </row>
    <row r="219" spans="1:1" ht="15.75" customHeight="1" x14ac:dyDescent="0.2">
      <c r="A219" s="4"/>
    </row>
    <row r="220" spans="1:1" ht="15.75" customHeight="1" x14ac:dyDescent="0.2">
      <c r="A220" s="4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8.5" customWidth="1"/>
    <col min="2" max="2" width="21.5" customWidth="1"/>
    <col min="3" max="3" width="37.5" customWidth="1"/>
    <col min="4" max="4" width="9.83203125" customWidth="1"/>
    <col min="5" max="5" width="57.6640625" customWidth="1"/>
    <col min="6" max="6" width="14.5" customWidth="1"/>
  </cols>
  <sheetData>
    <row r="1" spans="1:5" ht="16" customHeight="1" x14ac:dyDescent="0.2">
      <c r="A1" s="1" t="s">
        <v>44</v>
      </c>
      <c r="B1" s="3" t="s">
        <v>45</v>
      </c>
      <c r="C1" s="1" t="s">
        <v>46</v>
      </c>
      <c r="D1" s="5" t="s">
        <v>8</v>
      </c>
      <c r="E1" s="7" t="s">
        <v>47</v>
      </c>
    </row>
    <row r="2" spans="1:5" ht="16" customHeight="1" x14ac:dyDescent="0.2">
      <c r="A2" s="8" t="s">
        <v>48</v>
      </c>
      <c r="B2" s="10" t="s">
        <v>49</v>
      </c>
      <c r="C2" s="11" t="s">
        <v>50</v>
      </c>
      <c r="D2" s="13">
        <v>1</v>
      </c>
      <c r="E2" s="10"/>
    </row>
    <row r="3" spans="1:5" x14ac:dyDescent="0.2">
      <c r="B3" s="10"/>
      <c r="C3" s="11"/>
      <c r="E3" s="10"/>
    </row>
    <row r="4" spans="1:5" ht="16" customHeight="1" x14ac:dyDescent="0.2">
      <c r="A4" s="51" t="s">
        <v>51</v>
      </c>
      <c r="B4" s="47"/>
      <c r="C4" s="11" t="s">
        <v>52</v>
      </c>
      <c r="D4" s="13">
        <v>1</v>
      </c>
      <c r="E4" s="10" t="s">
        <v>53</v>
      </c>
    </row>
    <row r="5" spans="1:5" ht="16" customHeight="1" x14ac:dyDescent="0.2">
      <c r="A5" s="11"/>
      <c r="B5" s="10" t="s">
        <v>54</v>
      </c>
      <c r="C5" s="11" t="s">
        <v>55</v>
      </c>
      <c r="D5" s="13">
        <v>0.6</v>
      </c>
      <c r="E5" s="10"/>
    </row>
    <row r="6" spans="1:5" ht="48" customHeight="1" x14ac:dyDescent="0.2">
      <c r="B6" s="10"/>
      <c r="C6" s="11" t="s">
        <v>56</v>
      </c>
      <c r="D6" s="13">
        <v>0.5</v>
      </c>
      <c r="E6" s="10" t="s">
        <v>57</v>
      </c>
    </row>
    <row r="7" spans="1:5" ht="32" customHeight="1" x14ac:dyDescent="0.2">
      <c r="B7" s="10"/>
      <c r="C7" s="11" t="s">
        <v>58</v>
      </c>
      <c r="D7" s="13">
        <v>0.4</v>
      </c>
      <c r="E7" s="10" t="s">
        <v>59</v>
      </c>
    </row>
    <row r="8" spans="1:5" ht="16" customHeight="1" x14ac:dyDescent="0.2">
      <c r="B8" s="10"/>
      <c r="C8" s="11" t="s">
        <v>60</v>
      </c>
      <c r="D8" s="13">
        <v>0.1</v>
      </c>
      <c r="E8" s="10" t="s">
        <v>61</v>
      </c>
    </row>
    <row r="9" spans="1:5" ht="16" customHeight="1" x14ac:dyDescent="0.2">
      <c r="B9" s="10"/>
      <c r="C9" s="11" t="s">
        <v>62</v>
      </c>
      <c r="D9" s="13">
        <v>1</v>
      </c>
      <c r="E9" s="10" t="s">
        <v>63</v>
      </c>
    </row>
    <row r="10" spans="1:5" ht="80" customHeight="1" x14ac:dyDescent="0.2">
      <c r="B10" s="10" t="s">
        <v>64</v>
      </c>
      <c r="C10" s="11" t="s">
        <v>65</v>
      </c>
      <c r="D10" s="13">
        <v>0.4</v>
      </c>
      <c r="E10" s="10" t="s">
        <v>66</v>
      </c>
    </row>
    <row r="11" spans="1:5" x14ac:dyDescent="0.2">
      <c r="B11" s="10"/>
      <c r="E11" s="10"/>
    </row>
    <row r="12" spans="1:5" x14ac:dyDescent="0.2">
      <c r="A12" s="14"/>
      <c r="B12" s="15"/>
      <c r="C12" s="14"/>
      <c r="D12" s="14"/>
      <c r="E12" s="15"/>
    </row>
    <row r="13" spans="1:5" ht="48" customHeight="1" x14ac:dyDescent="0.2">
      <c r="A13" s="8" t="s">
        <v>67</v>
      </c>
      <c r="B13" s="10" t="s">
        <v>68</v>
      </c>
      <c r="C13" s="11" t="s">
        <v>69</v>
      </c>
      <c r="D13" s="13">
        <v>1</v>
      </c>
      <c r="E13" s="10"/>
    </row>
    <row r="14" spans="1:5" ht="48" customHeight="1" x14ac:dyDescent="0.2">
      <c r="B14" s="10"/>
      <c r="C14" s="11" t="s">
        <v>56</v>
      </c>
      <c r="D14" s="13">
        <v>0.5</v>
      </c>
      <c r="E14" s="10" t="s">
        <v>70</v>
      </c>
    </row>
    <row r="15" spans="1:5" ht="31" customHeight="1" x14ac:dyDescent="0.2">
      <c r="B15" s="10"/>
      <c r="C15" s="11" t="s">
        <v>71</v>
      </c>
      <c r="D15" s="13">
        <v>0.5</v>
      </c>
      <c r="E15" s="17" t="s">
        <v>72</v>
      </c>
    </row>
    <row r="16" spans="1:5" x14ac:dyDescent="0.2">
      <c r="B16" s="10"/>
      <c r="E16" s="10"/>
    </row>
    <row r="17" spans="2:5" x14ac:dyDescent="0.2">
      <c r="B17" s="10"/>
      <c r="E17" s="10"/>
    </row>
    <row r="18" spans="2:5" x14ac:dyDescent="0.2">
      <c r="B18" s="10"/>
      <c r="E18" s="10"/>
    </row>
    <row r="19" spans="2:5" x14ac:dyDescent="0.2">
      <c r="B19" s="10"/>
      <c r="E19" s="10"/>
    </row>
    <row r="20" spans="2:5" x14ac:dyDescent="0.2">
      <c r="B20" s="10"/>
      <c r="E20" s="10"/>
    </row>
    <row r="21" spans="2:5" ht="15.75" customHeight="1" x14ac:dyDescent="0.2">
      <c r="B21" s="10"/>
      <c r="E21" s="10"/>
    </row>
    <row r="22" spans="2:5" ht="15.75" customHeight="1" x14ac:dyDescent="0.2">
      <c r="B22" s="10"/>
      <c r="E22" s="10"/>
    </row>
    <row r="23" spans="2:5" ht="15.75" customHeight="1" x14ac:dyDescent="0.2">
      <c r="B23" s="10"/>
      <c r="E23" s="10"/>
    </row>
    <row r="24" spans="2:5" ht="15.75" customHeight="1" x14ac:dyDescent="0.2">
      <c r="B24" s="10"/>
      <c r="E24" s="10"/>
    </row>
    <row r="25" spans="2:5" ht="15.75" customHeight="1" x14ac:dyDescent="0.2">
      <c r="B25" s="10"/>
      <c r="E25" s="10"/>
    </row>
    <row r="26" spans="2:5" ht="15.75" customHeight="1" x14ac:dyDescent="0.2">
      <c r="B26" s="10"/>
      <c r="E26" s="10"/>
    </row>
    <row r="27" spans="2:5" ht="15.75" customHeight="1" x14ac:dyDescent="0.2">
      <c r="B27" s="10"/>
      <c r="E27" s="10"/>
    </row>
    <row r="28" spans="2:5" ht="15.75" customHeight="1" x14ac:dyDescent="0.2">
      <c r="B28" s="10"/>
      <c r="E28" s="10"/>
    </row>
    <row r="29" spans="2:5" ht="15.75" customHeight="1" x14ac:dyDescent="0.2">
      <c r="B29" s="10"/>
      <c r="E29" s="10"/>
    </row>
    <row r="30" spans="2:5" ht="15.75" customHeight="1" x14ac:dyDescent="0.2">
      <c r="B30" s="10"/>
      <c r="E30" s="10"/>
    </row>
    <row r="31" spans="2:5" ht="15.75" customHeight="1" x14ac:dyDescent="0.2">
      <c r="B31" s="10"/>
      <c r="E31" s="10"/>
    </row>
    <row r="32" spans="2:5" ht="15.75" customHeight="1" x14ac:dyDescent="0.2">
      <c r="B32" s="10"/>
      <c r="E32" s="10"/>
    </row>
    <row r="33" spans="2:5" ht="15.75" customHeight="1" x14ac:dyDescent="0.2">
      <c r="B33" s="10"/>
      <c r="E33" s="10"/>
    </row>
    <row r="34" spans="2:5" ht="15.75" customHeight="1" x14ac:dyDescent="0.2">
      <c r="B34" s="10"/>
      <c r="E34" s="10"/>
    </row>
    <row r="35" spans="2:5" ht="15.75" customHeight="1" x14ac:dyDescent="0.2">
      <c r="B35" s="10"/>
      <c r="E35" s="10"/>
    </row>
    <row r="36" spans="2:5" ht="15.75" customHeight="1" x14ac:dyDescent="0.2">
      <c r="B36" s="10"/>
      <c r="E36" s="10"/>
    </row>
    <row r="37" spans="2:5" ht="15.75" customHeight="1" x14ac:dyDescent="0.2">
      <c r="B37" s="10"/>
      <c r="E37" s="10"/>
    </row>
    <row r="38" spans="2:5" ht="15.75" customHeight="1" x14ac:dyDescent="0.2">
      <c r="B38" s="10"/>
      <c r="E38" s="10"/>
    </row>
    <row r="39" spans="2:5" ht="15.75" customHeight="1" x14ac:dyDescent="0.2">
      <c r="B39" s="10"/>
      <c r="E39" s="10"/>
    </row>
    <row r="40" spans="2:5" ht="15.75" customHeight="1" x14ac:dyDescent="0.2">
      <c r="B40" s="10"/>
      <c r="E40" s="10"/>
    </row>
    <row r="41" spans="2:5" ht="15.75" customHeight="1" x14ac:dyDescent="0.2">
      <c r="B41" s="10"/>
      <c r="E41" s="10"/>
    </row>
    <row r="42" spans="2:5" ht="15.75" customHeight="1" x14ac:dyDescent="0.2">
      <c r="B42" s="10"/>
      <c r="E42" s="10"/>
    </row>
    <row r="43" spans="2:5" ht="15.75" customHeight="1" x14ac:dyDescent="0.2">
      <c r="B43" s="10"/>
      <c r="E43" s="10"/>
    </row>
    <row r="44" spans="2:5" ht="15.75" customHeight="1" x14ac:dyDescent="0.2">
      <c r="B44" s="10"/>
      <c r="E44" s="10"/>
    </row>
    <row r="45" spans="2:5" ht="15.75" customHeight="1" x14ac:dyDescent="0.2">
      <c r="B45" s="10"/>
      <c r="E45" s="10"/>
    </row>
    <row r="46" spans="2:5" ht="15.75" customHeight="1" x14ac:dyDescent="0.2">
      <c r="B46" s="10"/>
      <c r="E46" s="10"/>
    </row>
    <row r="47" spans="2:5" ht="15.75" customHeight="1" x14ac:dyDescent="0.2">
      <c r="B47" s="10"/>
      <c r="E47" s="10"/>
    </row>
    <row r="48" spans="2:5" ht="15.75" customHeight="1" x14ac:dyDescent="0.2">
      <c r="B48" s="10"/>
      <c r="E48" s="10"/>
    </row>
    <row r="49" spans="2:5" ht="15.75" customHeight="1" x14ac:dyDescent="0.2">
      <c r="B49" s="10"/>
      <c r="E49" s="10"/>
    </row>
    <row r="50" spans="2:5" ht="15.75" customHeight="1" x14ac:dyDescent="0.2">
      <c r="B50" s="10"/>
      <c r="E50" s="10"/>
    </row>
    <row r="51" spans="2:5" ht="15.75" customHeight="1" x14ac:dyDescent="0.2">
      <c r="B51" s="10"/>
      <c r="E51" s="10"/>
    </row>
    <row r="52" spans="2:5" ht="15.75" customHeight="1" x14ac:dyDescent="0.2">
      <c r="B52" s="10"/>
      <c r="E52" s="10"/>
    </row>
    <row r="53" spans="2:5" ht="15.75" customHeight="1" x14ac:dyDescent="0.2">
      <c r="B53" s="10"/>
      <c r="E53" s="10"/>
    </row>
    <row r="54" spans="2:5" ht="15.75" customHeight="1" x14ac:dyDescent="0.2">
      <c r="B54" s="10"/>
      <c r="E54" s="10"/>
    </row>
    <row r="55" spans="2:5" ht="15.75" customHeight="1" x14ac:dyDescent="0.2">
      <c r="B55" s="10"/>
      <c r="E55" s="10"/>
    </row>
    <row r="56" spans="2:5" ht="15.75" customHeight="1" x14ac:dyDescent="0.2">
      <c r="B56" s="10"/>
      <c r="E56" s="10"/>
    </row>
    <row r="57" spans="2:5" ht="15.75" customHeight="1" x14ac:dyDescent="0.2">
      <c r="B57" s="10"/>
      <c r="E57" s="10"/>
    </row>
    <row r="58" spans="2:5" ht="15.75" customHeight="1" x14ac:dyDescent="0.2">
      <c r="B58" s="10"/>
      <c r="E58" s="10"/>
    </row>
    <row r="59" spans="2:5" ht="15.75" customHeight="1" x14ac:dyDescent="0.2">
      <c r="B59" s="10"/>
      <c r="E59" s="10"/>
    </row>
    <row r="60" spans="2:5" ht="15.75" customHeight="1" x14ac:dyDescent="0.2">
      <c r="B60" s="10"/>
      <c r="E60" s="10"/>
    </row>
    <row r="61" spans="2:5" ht="15.75" customHeight="1" x14ac:dyDescent="0.2">
      <c r="B61" s="10"/>
      <c r="E61" s="10"/>
    </row>
    <row r="62" spans="2:5" ht="15.75" customHeight="1" x14ac:dyDescent="0.2">
      <c r="B62" s="10"/>
      <c r="E62" s="10"/>
    </row>
    <row r="63" spans="2:5" ht="15.75" customHeight="1" x14ac:dyDescent="0.2">
      <c r="B63" s="10"/>
      <c r="E63" s="10"/>
    </row>
    <row r="64" spans="2:5" ht="15.75" customHeight="1" x14ac:dyDescent="0.2">
      <c r="B64" s="10"/>
      <c r="E64" s="10"/>
    </row>
    <row r="65" spans="2:5" ht="15.75" customHeight="1" x14ac:dyDescent="0.2">
      <c r="B65" s="10"/>
      <c r="E65" s="10"/>
    </row>
    <row r="66" spans="2:5" ht="15.75" customHeight="1" x14ac:dyDescent="0.2">
      <c r="B66" s="10"/>
      <c r="E66" s="10"/>
    </row>
    <row r="67" spans="2:5" ht="15.75" customHeight="1" x14ac:dyDescent="0.2">
      <c r="B67" s="10"/>
      <c r="E67" s="10"/>
    </row>
    <row r="68" spans="2:5" ht="15.75" customHeight="1" x14ac:dyDescent="0.2">
      <c r="B68" s="10"/>
      <c r="E68" s="10"/>
    </row>
    <row r="69" spans="2:5" ht="15.75" customHeight="1" x14ac:dyDescent="0.2">
      <c r="B69" s="10"/>
      <c r="E69" s="10"/>
    </row>
    <row r="70" spans="2:5" ht="15.75" customHeight="1" x14ac:dyDescent="0.2">
      <c r="B70" s="10"/>
      <c r="E70" s="10"/>
    </row>
    <row r="71" spans="2:5" ht="15.75" customHeight="1" x14ac:dyDescent="0.2">
      <c r="B71" s="10"/>
      <c r="E71" s="10"/>
    </row>
    <row r="72" spans="2:5" ht="15.75" customHeight="1" x14ac:dyDescent="0.2">
      <c r="B72" s="10"/>
      <c r="E72" s="10"/>
    </row>
    <row r="73" spans="2:5" ht="15.75" customHeight="1" x14ac:dyDescent="0.2">
      <c r="B73" s="10"/>
      <c r="E73" s="10"/>
    </row>
    <row r="74" spans="2:5" ht="15.75" customHeight="1" x14ac:dyDescent="0.2">
      <c r="B74" s="10"/>
      <c r="E74" s="10"/>
    </row>
    <row r="75" spans="2:5" ht="15.75" customHeight="1" x14ac:dyDescent="0.2">
      <c r="B75" s="10"/>
      <c r="E75" s="10"/>
    </row>
    <row r="76" spans="2:5" ht="15.75" customHeight="1" x14ac:dyDescent="0.2">
      <c r="B76" s="10"/>
      <c r="E76" s="10"/>
    </row>
    <row r="77" spans="2:5" ht="15.75" customHeight="1" x14ac:dyDescent="0.2">
      <c r="B77" s="10"/>
      <c r="E77" s="10"/>
    </row>
    <row r="78" spans="2:5" ht="15.75" customHeight="1" x14ac:dyDescent="0.2">
      <c r="B78" s="10"/>
      <c r="E78" s="10"/>
    </row>
    <row r="79" spans="2:5" ht="15.75" customHeight="1" x14ac:dyDescent="0.2">
      <c r="B79" s="10"/>
      <c r="E79" s="10"/>
    </row>
    <row r="80" spans="2:5" ht="15.75" customHeight="1" x14ac:dyDescent="0.2">
      <c r="B80" s="10"/>
      <c r="E80" s="10"/>
    </row>
    <row r="81" spans="2:5" ht="15.75" customHeight="1" x14ac:dyDescent="0.2">
      <c r="B81" s="10"/>
      <c r="E81" s="10"/>
    </row>
    <row r="82" spans="2:5" ht="15.75" customHeight="1" x14ac:dyDescent="0.2">
      <c r="B82" s="10"/>
      <c r="E82" s="10"/>
    </row>
    <row r="83" spans="2:5" ht="15.75" customHeight="1" x14ac:dyDescent="0.2">
      <c r="B83" s="10"/>
      <c r="E83" s="10"/>
    </row>
    <row r="84" spans="2:5" ht="15.75" customHeight="1" x14ac:dyDescent="0.2">
      <c r="B84" s="10"/>
      <c r="E84" s="10"/>
    </row>
    <row r="85" spans="2:5" ht="15.75" customHeight="1" x14ac:dyDescent="0.2">
      <c r="B85" s="10"/>
      <c r="E85" s="10"/>
    </row>
    <row r="86" spans="2:5" ht="15.75" customHeight="1" x14ac:dyDescent="0.2">
      <c r="B86" s="10"/>
      <c r="E86" s="10"/>
    </row>
    <row r="87" spans="2:5" ht="15.75" customHeight="1" x14ac:dyDescent="0.2">
      <c r="B87" s="10"/>
      <c r="E87" s="10"/>
    </row>
    <row r="88" spans="2:5" ht="15.75" customHeight="1" x14ac:dyDescent="0.2">
      <c r="B88" s="10"/>
      <c r="E88" s="10"/>
    </row>
    <row r="89" spans="2:5" ht="15.75" customHeight="1" x14ac:dyDescent="0.2">
      <c r="B89" s="10"/>
      <c r="E89" s="10"/>
    </row>
    <row r="90" spans="2:5" ht="15.75" customHeight="1" x14ac:dyDescent="0.2">
      <c r="B90" s="10"/>
      <c r="E90" s="10"/>
    </row>
    <row r="91" spans="2:5" ht="15.75" customHeight="1" x14ac:dyDescent="0.2">
      <c r="B91" s="10"/>
      <c r="E91" s="10"/>
    </row>
    <row r="92" spans="2:5" ht="15.75" customHeight="1" x14ac:dyDescent="0.2">
      <c r="B92" s="10"/>
      <c r="E92" s="10"/>
    </row>
    <row r="93" spans="2:5" ht="15.75" customHeight="1" x14ac:dyDescent="0.2">
      <c r="B93" s="10"/>
      <c r="E93" s="10"/>
    </row>
    <row r="94" spans="2:5" ht="15.75" customHeight="1" x14ac:dyDescent="0.2">
      <c r="B94" s="10"/>
      <c r="E94" s="10"/>
    </row>
    <row r="95" spans="2:5" ht="15.75" customHeight="1" x14ac:dyDescent="0.2">
      <c r="B95" s="10"/>
      <c r="E95" s="10"/>
    </row>
    <row r="96" spans="2:5" ht="15.75" customHeight="1" x14ac:dyDescent="0.2">
      <c r="B96" s="10"/>
      <c r="E96" s="10"/>
    </row>
    <row r="97" spans="2:5" ht="15.75" customHeight="1" x14ac:dyDescent="0.2">
      <c r="B97" s="10"/>
      <c r="E97" s="10"/>
    </row>
    <row r="98" spans="2:5" ht="15.75" customHeight="1" x14ac:dyDescent="0.2">
      <c r="B98" s="10"/>
      <c r="E98" s="10"/>
    </row>
    <row r="99" spans="2:5" ht="15.75" customHeight="1" x14ac:dyDescent="0.2">
      <c r="B99" s="10"/>
      <c r="E99" s="10"/>
    </row>
    <row r="100" spans="2:5" ht="15.75" customHeight="1" x14ac:dyDescent="0.2">
      <c r="B100" s="10"/>
      <c r="E100" s="10"/>
    </row>
    <row r="101" spans="2:5" ht="15.75" customHeight="1" x14ac:dyDescent="0.2">
      <c r="B101" s="10"/>
      <c r="E101" s="10"/>
    </row>
    <row r="102" spans="2:5" ht="15.75" customHeight="1" x14ac:dyDescent="0.2">
      <c r="B102" s="10"/>
      <c r="E102" s="10"/>
    </row>
    <row r="103" spans="2:5" ht="15.75" customHeight="1" x14ac:dyDescent="0.2">
      <c r="B103" s="10"/>
      <c r="E103" s="10"/>
    </row>
    <row r="104" spans="2:5" ht="15.75" customHeight="1" x14ac:dyDescent="0.2">
      <c r="B104" s="10"/>
      <c r="E104" s="10"/>
    </row>
    <row r="105" spans="2:5" ht="15.75" customHeight="1" x14ac:dyDescent="0.2">
      <c r="B105" s="10"/>
      <c r="E105" s="10"/>
    </row>
    <row r="106" spans="2:5" ht="15.75" customHeight="1" x14ac:dyDescent="0.2">
      <c r="B106" s="10"/>
      <c r="E106" s="10"/>
    </row>
    <row r="107" spans="2:5" ht="15.75" customHeight="1" x14ac:dyDescent="0.2">
      <c r="B107" s="10"/>
      <c r="E107" s="10"/>
    </row>
    <row r="108" spans="2:5" ht="15.75" customHeight="1" x14ac:dyDescent="0.2">
      <c r="B108" s="10"/>
      <c r="E108" s="10"/>
    </row>
    <row r="109" spans="2:5" ht="15.75" customHeight="1" x14ac:dyDescent="0.2">
      <c r="B109" s="10"/>
      <c r="E109" s="10"/>
    </row>
    <row r="110" spans="2:5" ht="15.75" customHeight="1" x14ac:dyDescent="0.2">
      <c r="B110" s="10"/>
      <c r="E110" s="10"/>
    </row>
    <row r="111" spans="2:5" ht="15.75" customHeight="1" x14ac:dyDescent="0.2">
      <c r="B111" s="10"/>
      <c r="E111" s="10"/>
    </row>
    <row r="112" spans="2:5" ht="15.75" customHeight="1" x14ac:dyDescent="0.2">
      <c r="B112" s="10"/>
      <c r="E112" s="10"/>
    </row>
    <row r="113" spans="2:5" ht="15.75" customHeight="1" x14ac:dyDescent="0.2">
      <c r="B113" s="10"/>
      <c r="E113" s="10"/>
    </row>
    <row r="114" spans="2:5" ht="15.75" customHeight="1" x14ac:dyDescent="0.2">
      <c r="B114" s="10"/>
      <c r="E114" s="10"/>
    </row>
    <row r="115" spans="2:5" ht="15.75" customHeight="1" x14ac:dyDescent="0.2">
      <c r="B115" s="10"/>
      <c r="E115" s="10"/>
    </row>
    <row r="116" spans="2:5" ht="15.75" customHeight="1" x14ac:dyDescent="0.2">
      <c r="B116" s="10"/>
      <c r="E116" s="10"/>
    </row>
    <row r="117" spans="2:5" ht="15.75" customHeight="1" x14ac:dyDescent="0.2">
      <c r="B117" s="10"/>
      <c r="E117" s="10"/>
    </row>
    <row r="118" spans="2:5" ht="15.75" customHeight="1" x14ac:dyDescent="0.2">
      <c r="B118" s="10"/>
      <c r="E118" s="10"/>
    </row>
    <row r="119" spans="2:5" ht="15.75" customHeight="1" x14ac:dyDescent="0.2">
      <c r="B119" s="10"/>
      <c r="E119" s="10"/>
    </row>
    <row r="120" spans="2:5" ht="15.75" customHeight="1" x14ac:dyDescent="0.2">
      <c r="B120" s="10"/>
      <c r="E120" s="10"/>
    </row>
    <row r="121" spans="2:5" ht="15.75" customHeight="1" x14ac:dyDescent="0.2">
      <c r="B121" s="10"/>
      <c r="E121" s="10"/>
    </row>
    <row r="122" spans="2:5" ht="15.75" customHeight="1" x14ac:dyDescent="0.2">
      <c r="B122" s="10"/>
      <c r="E122" s="10"/>
    </row>
    <row r="123" spans="2:5" ht="15.75" customHeight="1" x14ac:dyDescent="0.2">
      <c r="B123" s="10"/>
      <c r="E123" s="10"/>
    </row>
    <row r="124" spans="2:5" ht="15.75" customHeight="1" x14ac:dyDescent="0.2">
      <c r="B124" s="10"/>
      <c r="E124" s="10"/>
    </row>
    <row r="125" spans="2:5" ht="15.75" customHeight="1" x14ac:dyDescent="0.2">
      <c r="B125" s="10"/>
      <c r="E125" s="10"/>
    </row>
    <row r="126" spans="2:5" ht="15.75" customHeight="1" x14ac:dyDescent="0.2">
      <c r="B126" s="10"/>
      <c r="E126" s="10"/>
    </row>
    <row r="127" spans="2:5" ht="15.75" customHeight="1" x14ac:dyDescent="0.2">
      <c r="B127" s="10"/>
      <c r="E127" s="10"/>
    </row>
    <row r="128" spans="2:5" ht="15.75" customHeight="1" x14ac:dyDescent="0.2">
      <c r="B128" s="10"/>
      <c r="E128" s="10"/>
    </row>
    <row r="129" spans="2:5" ht="15.75" customHeight="1" x14ac:dyDescent="0.2">
      <c r="B129" s="10"/>
      <c r="E129" s="10"/>
    </row>
    <row r="130" spans="2:5" ht="15.75" customHeight="1" x14ac:dyDescent="0.2">
      <c r="B130" s="10"/>
      <c r="E130" s="10"/>
    </row>
    <row r="131" spans="2:5" ht="15.75" customHeight="1" x14ac:dyDescent="0.2">
      <c r="B131" s="10"/>
      <c r="E131" s="10"/>
    </row>
    <row r="132" spans="2:5" ht="15.75" customHeight="1" x14ac:dyDescent="0.2">
      <c r="B132" s="10"/>
      <c r="E132" s="10"/>
    </row>
    <row r="133" spans="2:5" ht="15.75" customHeight="1" x14ac:dyDescent="0.2">
      <c r="B133" s="10"/>
      <c r="E133" s="10"/>
    </row>
    <row r="134" spans="2:5" ht="15.75" customHeight="1" x14ac:dyDescent="0.2">
      <c r="B134" s="10"/>
      <c r="E134" s="10"/>
    </row>
    <row r="135" spans="2:5" ht="15.75" customHeight="1" x14ac:dyDescent="0.2">
      <c r="B135" s="10"/>
      <c r="E135" s="10"/>
    </row>
    <row r="136" spans="2:5" ht="15.75" customHeight="1" x14ac:dyDescent="0.2">
      <c r="B136" s="10"/>
      <c r="E136" s="10"/>
    </row>
    <row r="137" spans="2:5" ht="15.75" customHeight="1" x14ac:dyDescent="0.2">
      <c r="B137" s="10"/>
      <c r="E137" s="10"/>
    </row>
    <row r="138" spans="2:5" ht="15.75" customHeight="1" x14ac:dyDescent="0.2">
      <c r="B138" s="10"/>
      <c r="E138" s="10"/>
    </row>
    <row r="139" spans="2:5" ht="15.75" customHeight="1" x14ac:dyDescent="0.2">
      <c r="B139" s="10"/>
      <c r="E139" s="10"/>
    </row>
    <row r="140" spans="2:5" ht="15.75" customHeight="1" x14ac:dyDescent="0.2">
      <c r="B140" s="10"/>
      <c r="E140" s="10"/>
    </row>
    <row r="141" spans="2:5" ht="15.75" customHeight="1" x14ac:dyDescent="0.2">
      <c r="B141" s="10"/>
      <c r="E141" s="10"/>
    </row>
    <row r="142" spans="2:5" ht="15.75" customHeight="1" x14ac:dyDescent="0.2">
      <c r="B142" s="10"/>
      <c r="E142" s="10"/>
    </row>
    <row r="143" spans="2:5" ht="15.75" customHeight="1" x14ac:dyDescent="0.2">
      <c r="B143" s="10"/>
      <c r="E143" s="10"/>
    </row>
    <row r="144" spans="2:5" ht="15.75" customHeight="1" x14ac:dyDescent="0.2">
      <c r="B144" s="10"/>
      <c r="E144" s="10"/>
    </row>
    <row r="145" spans="2:5" ht="15.75" customHeight="1" x14ac:dyDescent="0.2">
      <c r="B145" s="10"/>
      <c r="E145" s="10"/>
    </row>
    <row r="146" spans="2:5" ht="15.75" customHeight="1" x14ac:dyDescent="0.2">
      <c r="B146" s="10"/>
      <c r="E146" s="10"/>
    </row>
    <row r="147" spans="2:5" ht="15.75" customHeight="1" x14ac:dyDescent="0.2">
      <c r="B147" s="10"/>
      <c r="E147" s="10"/>
    </row>
    <row r="148" spans="2:5" ht="15.75" customHeight="1" x14ac:dyDescent="0.2">
      <c r="B148" s="10"/>
      <c r="E148" s="10"/>
    </row>
    <row r="149" spans="2:5" ht="15.75" customHeight="1" x14ac:dyDescent="0.2">
      <c r="B149" s="10"/>
      <c r="E149" s="10"/>
    </row>
    <row r="150" spans="2:5" ht="15.75" customHeight="1" x14ac:dyDescent="0.2">
      <c r="B150" s="10"/>
      <c r="E150" s="10"/>
    </row>
    <row r="151" spans="2:5" ht="15.75" customHeight="1" x14ac:dyDescent="0.2">
      <c r="B151" s="10"/>
      <c r="E151" s="10"/>
    </row>
    <row r="152" spans="2:5" ht="15.75" customHeight="1" x14ac:dyDescent="0.2">
      <c r="B152" s="10"/>
      <c r="E152" s="10"/>
    </row>
    <row r="153" spans="2:5" ht="15.75" customHeight="1" x14ac:dyDescent="0.2">
      <c r="B153" s="10"/>
      <c r="E153" s="10"/>
    </row>
    <row r="154" spans="2:5" ht="15.75" customHeight="1" x14ac:dyDescent="0.2">
      <c r="B154" s="10"/>
      <c r="E154" s="10"/>
    </row>
    <row r="155" spans="2:5" ht="15.75" customHeight="1" x14ac:dyDescent="0.2">
      <c r="B155" s="10"/>
      <c r="E155" s="10"/>
    </row>
    <row r="156" spans="2:5" ht="15.75" customHeight="1" x14ac:dyDescent="0.2">
      <c r="B156" s="10"/>
      <c r="E156" s="10"/>
    </row>
    <row r="157" spans="2:5" ht="15.75" customHeight="1" x14ac:dyDescent="0.2">
      <c r="B157" s="10"/>
      <c r="E157" s="10"/>
    </row>
    <row r="158" spans="2:5" ht="15.75" customHeight="1" x14ac:dyDescent="0.2">
      <c r="B158" s="10"/>
      <c r="E158" s="10"/>
    </row>
    <row r="159" spans="2:5" ht="15.75" customHeight="1" x14ac:dyDescent="0.2">
      <c r="B159" s="10"/>
      <c r="E159" s="10"/>
    </row>
    <row r="160" spans="2:5" ht="15.75" customHeight="1" x14ac:dyDescent="0.2">
      <c r="B160" s="10"/>
      <c r="E160" s="10"/>
    </row>
    <row r="161" spans="2:5" ht="15.75" customHeight="1" x14ac:dyDescent="0.2">
      <c r="B161" s="10"/>
      <c r="E161" s="10"/>
    </row>
    <row r="162" spans="2:5" ht="15.75" customHeight="1" x14ac:dyDescent="0.2">
      <c r="B162" s="10"/>
      <c r="E162" s="10"/>
    </row>
    <row r="163" spans="2:5" ht="15.75" customHeight="1" x14ac:dyDescent="0.2">
      <c r="B163" s="10"/>
      <c r="E163" s="10"/>
    </row>
    <row r="164" spans="2:5" ht="15.75" customHeight="1" x14ac:dyDescent="0.2">
      <c r="B164" s="10"/>
      <c r="E164" s="10"/>
    </row>
    <row r="165" spans="2:5" ht="15.75" customHeight="1" x14ac:dyDescent="0.2">
      <c r="B165" s="10"/>
      <c r="E165" s="10"/>
    </row>
    <row r="166" spans="2:5" ht="15.75" customHeight="1" x14ac:dyDescent="0.2">
      <c r="B166" s="10"/>
      <c r="E166" s="10"/>
    </row>
    <row r="167" spans="2:5" ht="15.75" customHeight="1" x14ac:dyDescent="0.2">
      <c r="B167" s="10"/>
      <c r="E167" s="10"/>
    </row>
    <row r="168" spans="2:5" ht="15.75" customHeight="1" x14ac:dyDescent="0.2">
      <c r="B168" s="10"/>
      <c r="E168" s="10"/>
    </row>
    <row r="169" spans="2:5" ht="15.75" customHeight="1" x14ac:dyDescent="0.2">
      <c r="B169" s="10"/>
      <c r="E169" s="10"/>
    </row>
    <row r="170" spans="2:5" ht="15.75" customHeight="1" x14ac:dyDescent="0.2">
      <c r="B170" s="10"/>
      <c r="E170" s="10"/>
    </row>
    <row r="171" spans="2:5" ht="15.75" customHeight="1" x14ac:dyDescent="0.2">
      <c r="B171" s="10"/>
      <c r="E171" s="10"/>
    </row>
    <row r="172" spans="2:5" ht="15.75" customHeight="1" x14ac:dyDescent="0.2">
      <c r="B172" s="10"/>
      <c r="E172" s="10"/>
    </row>
    <row r="173" spans="2:5" ht="15.75" customHeight="1" x14ac:dyDescent="0.2">
      <c r="B173" s="10"/>
      <c r="E173" s="10"/>
    </row>
    <row r="174" spans="2:5" ht="15.75" customHeight="1" x14ac:dyDescent="0.2">
      <c r="B174" s="10"/>
      <c r="E174" s="10"/>
    </row>
    <row r="175" spans="2:5" ht="15.75" customHeight="1" x14ac:dyDescent="0.2">
      <c r="B175" s="10"/>
      <c r="E175" s="10"/>
    </row>
    <row r="176" spans="2:5" ht="15.75" customHeight="1" x14ac:dyDescent="0.2">
      <c r="B176" s="10"/>
      <c r="E176" s="10"/>
    </row>
    <row r="177" spans="2:5" ht="15.75" customHeight="1" x14ac:dyDescent="0.2">
      <c r="B177" s="10"/>
      <c r="E177" s="10"/>
    </row>
    <row r="178" spans="2:5" ht="15.75" customHeight="1" x14ac:dyDescent="0.2">
      <c r="B178" s="10"/>
      <c r="E178" s="10"/>
    </row>
    <row r="179" spans="2:5" ht="15.75" customHeight="1" x14ac:dyDescent="0.2">
      <c r="B179" s="10"/>
      <c r="E179" s="10"/>
    </row>
    <row r="180" spans="2:5" ht="15.75" customHeight="1" x14ac:dyDescent="0.2">
      <c r="B180" s="10"/>
      <c r="E180" s="10"/>
    </row>
    <row r="181" spans="2:5" ht="15.75" customHeight="1" x14ac:dyDescent="0.2">
      <c r="B181" s="10"/>
      <c r="E181" s="10"/>
    </row>
    <row r="182" spans="2:5" ht="15.75" customHeight="1" x14ac:dyDescent="0.2">
      <c r="B182" s="10"/>
      <c r="E182" s="10"/>
    </row>
    <row r="183" spans="2:5" ht="15.75" customHeight="1" x14ac:dyDescent="0.2">
      <c r="B183" s="10"/>
      <c r="E183" s="10"/>
    </row>
    <row r="184" spans="2:5" ht="15.75" customHeight="1" x14ac:dyDescent="0.2">
      <c r="B184" s="10"/>
      <c r="E184" s="10"/>
    </row>
    <row r="185" spans="2:5" ht="15.75" customHeight="1" x14ac:dyDescent="0.2">
      <c r="B185" s="10"/>
      <c r="E185" s="10"/>
    </row>
    <row r="186" spans="2:5" ht="15.75" customHeight="1" x14ac:dyDescent="0.2">
      <c r="B186" s="10"/>
      <c r="E186" s="10"/>
    </row>
    <row r="187" spans="2:5" ht="15.75" customHeight="1" x14ac:dyDescent="0.2">
      <c r="B187" s="10"/>
      <c r="E187" s="10"/>
    </row>
    <row r="188" spans="2:5" ht="15.75" customHeight="1" x14ac:dyDescent="0.2">
      <c r="B188" s="10"/>
      <c r="E188" s="10"/>
    </row>
    <row r="189" spans="2:5" ht="15.75" customHeight="1" x14ac:dyDescent="0.2">
      <c r="B189" s="10"/>
      <c r="E189" s="10"/>
    </row>
    <row r="190" spans="2:5" ht="15.75" customHeight="1" x14ac:dyDescent="0.2">
      <c r="B190" s="10"/>
      <c r="E190" s="10"/>
    </row>
    <row r="191" spans="2:5" ht="15.75" customHeight="1" x14ac:dyDescent="0.2">
      <c r="B191" s="10"/>
      <c r="E191" s="10"/>
    </row>
    <row r="192" spans="2:5" ht="15.75" customHeight="1" x14ac:dyDescent="0.2">
      <c r="B192" s="10"/>
      <c r="E192" s="10"/>
    </row>
    <row r="193" spans="2:5" ht="15.75" customHeight="1" x14ac:dyDescent="0.2">
      <c r="B193" s="10"/>
      <c r="E193" s="10"/>
    </row>
    <row r="194" spans="2:5" ht="15.75" customHeight="1" x14ac:dyDescent="0.2">
      <c r="B194" s="10"/>
      <c r="E194" s="10"/>
    </row>
    <row r="195" spans="2:5" ht="15.75" customHeight="1" x14ac:dyDescent="0.2">
      <c r="B195" s="10"/>
      <c r="E195" s="10"/>
    </row>
    <row r="196" spans="2:5" ht="15.75" customHeight="1" x14ac:dyDescent="0.2">
      <c r="B196" s="10"/>
      <c r="E196" s="10"/>
    </row>
    <row r="197" spans="2:5" ht="15.75" customHeight="1" x14ac:dyDescent="0.2">
      <c r="B197" s="10"/>
      <c r="E197" s="10"/>
    </row>
    <row r="198" spans="2:5" ht="15.75" customHeight="1" x14ac:dyDescent="0.2">
      <c r="B198" s="10"/>
      <c r="E198" s="10"/>
    </row>
    <row r="199" spans="2:5" ht="15.75" customHeight="1" x14ac:dyDescent="0.2">
      <c r="B199" s="10"/>
      <c r="E199" s="10"/>
    </row>
    <row r="200" spans="2:5" ht="15.75" customHeight="1" x14ac:dyDescent="0.2">
      <c r="B200" s="10"/>
      <c r="E200" s="10"/>
    </row>
    <row r="201" spans="2:5" ht="15.75" customHeight="1" x14ac:dyDescent="0.2">
      <c r="B201" s="10"/>
      <c r="E201" s="10"/>
    </row>
    <row r="202" spans="2:5" ht="15.75" customHeight="1" x14ac:dyDescent="0.2">
      <c r="B202" s="10"/>
      <c r="E202" s="10"/>
    </row>
    <row r="203" spans="2:5" ht="15.75" customHeight="1" x14ac:dyDescent="0.2">
      <c r="B203" s="10"/>
      <c r="E203" s="10"/>
    </row>
    <row r="204" spans="2:5" ht="15.75" customHeight="1" x14ac:dyDescent="0.2">
      <c r="B204" s="10"/>
      <c r="E204" s="10"/>
    </row>
    <row r="205" spans="2:5" ht="15.75" customHeight="1" x14ac:dyDescent="0.2">
      <c r="B205" s="10"/>
      <c r="E205" s="10"/>
    </row>
    <row r="206" spans="2:5" ht="15.75" customHeight="1" x14ac:dyDescent="0.2">
      <c r="B206" s="10"/>
      <c r="E206" s="10"/>
    </row>
    <row r="207" spans="2:5" ht="15.75" customHeight="1" x14ac:dyDescent="0.2">
      <c r="B207" s="10"/>
      <c r="E207" s="10"/>
    </row>
    <row r="208" spans="2:5" ht="15.75" customHeight="1" x14ac:dyDescent="0.2">
      <c r="B208" s="10"/>
      <c r="E208" s="10"/>
    </row>
    <row r="209" spans="2:5" ht="15.75" customHeight="1" x14ac:dyDescent="0.2">
      <c r="B209" s="10"/>
      <c r="E209" s="10"/>
    </row>
    <row r="210" spans="2:5" ht="15.75" customHeight="1" x14ac:dyDescent="0.2">
      <c r="B210" s="10"/>
      <c r="E210" s="10"/>
    </row>
    <row r="211" spans="2:5" ht="15.75" customHeight="1" x14ac:dyDescent="0.2">
      <c r="B211" s="10"/>
      <c r="E211" s="10"/>
    </row>
    <row r="212" spans="2:5" ht="15.75" customHeight="1" x14ac:dyDescent="0.2">
      <c r="B212" s="10"/>
      <c r="E212" s="10"/>
    </row>
    <row r="213" spans="2:5" ht="15.75" customHeight="1" x14ac:dyDescent="0.2">
      <c r="B213" s="10"/>
      <c r="E213" s="10"/>
    </row>
    <row r="214" spans="2:5" ht="15.75" customHeight="1" x14ac:dyDescent="0.2">
      <c r="B214" s="10"/>
      <c r="E214" s="10"/>
    </row>
    <row r="215" spans="2:5" ht="15.75" customHeight="1" x14ac:dyDescent="0.2">
      <c r="B215" s="10"/>
      <c r="E215" s="10"/>
    </row>
    <row r="216" spans="2:5" ht="15.75" customHeight="1" x14ac:dyDescent="0.2">
      <c r="B216" s="10"/>
      <c r="E216" s="10"/>
    </row>
    <row r="217" spans="2:5" ht="15.75" customHeight="1" x14ac:dyDescent="0.2">
      <c r="B217" s="10"/>
      <c r="E217" s="10"/>
    </row>
    <row r="218" spans="2:5" ht="15.75" customHeight="1" x14ac:dyDescent="0.2">
      <c r="B218" s="10"/>
      <c r="E218" s="10"/>
    </row>
    <row r="219" spans="2:5" ht="15.75" customHeight="1" x14ac:dyDescent="0.2">
      <c r="B219" s="10"/>
      <c r="E219" s="10"/>
    </row>
    <row r="220" spans="2:5" ht="15.75" customHeight="1" x14ac:dyDescent="0.2">
      <c r="B220" s="10"/>
      <c r="E220" s="10"/>
    </row>
    <row r="221" spans="2:5" ht="15.75" customHeight="1" x14ac:dyDescent="0.2"/>
    <row r="222" spans="2:5" ht="15.75" customHeight="1" x14ac:dyDescent="0.2"/>
    <row r="223" spans="2:5" ht="15.75" customHeight="1" x14ac:dyDescent="0.2"/>
    <row r="224" spans="2: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tabSelected="1" workbookViewId="0">
      <selection activeCell="B8" sqref="B8"/>
    </sheetView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9" customHeight="1" x14ac:dyDescent="0.25">
      <c r="A1" s="50" t="s">
        <v>73</v>
      </c>
      <c r="B1" s="47"/>
      <c r="C1" s="47"/>
      <c r="D1" s="47"/>
      <c r="E1" s="47"/>
      <c r="F1" s="47"/>
      <c r="G1" s="47"/>
      <c r="H1" s="47"/>
    </row>
    <row r="2" spans="1:8" x14ac:dyDescent="0.2">
      <c r="A2" s="48" t="s">
        <v>74</v>
      </c>
      <c r="B2" s="47"/>
      <c r="C2" s="47"/>
      <c r="D2" s="47"/>
      <c r="E2" s="47"/>
      <c r="F2" s="47"/>
      <c r="G2" s="47"/>
      <c r="H2" s="47"/>
    </row>
    <row r="3" spans="1:8" x14ac:dyDescent="0.2">
      <c r="A3" s="16" t="s">
        <v>2</v>
      </c>
      <c r="B3" s="46"/>
      <c r="C3" s="47"/>
      <c r="D3" s="47"/>
      <c r="E3" s="16" t="s">
        <v>3</v>
      </c>
      <c r="F3" s="46"/>
      <c r="G3" s="47"/>
      <c r="H3" s="47"/>
    </row>
    <row r="4" spans="1:8" x14ac:dyDescent="0.2">
      <c r="A4" s="16" t="s">
        <v>4</v>
      </c>
      <c r="B4" s="46"/>
      <c r="C4" s="47"/>
      <c r="D4" s="47"/>
      <c r="E4" s="16" t="s">
        <v>5</v>
      </c>
      <c r="F4" s="46"/>
      <c r="G4" s="47"/>
      <c r="H4" s="47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16" customHeight="1" x14ac:dyDescent="0.2">
      <c r="A6" s="18" t="s">
        <v>6</v>
      </c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18" t="s">
        <v>13</v>
      </c>
    </row>
    <row r="7" spans="1:8" ht="52" customHeight="1" x14ac:dyDescent="0.2">
      <c r="A7" s="19" t="s">
        <v>75</v>
      </c>
      <c r="B7" s="20" t="s">
        <v>76</v>
      </c>
      <c r="C7" s="21">
        <v>0.2</v>
      </c>
      <c r="D7" s="20" t="s">
        <v>77</v>
      </c>
      <c r="E7" s="20" t="s">
        <v>78</v>
      </c>
      <c r="F7" s="20" t="s">
        <v>79</v>
      </c>
      <c r="G7" s="20" t="s">
        <v>80</v>
      </c>
      <c r="H7" s="21"/>
    </row>
    <row r="8" spans="1:8" ht="126" customHeight="1" x14ac:dyDescent="0.2">
      <c r="A8" s="19" t="s">
        <v>81</v>
      </c>
      <c r="B8" s="20" t="s">
        <v>82</v>
      </c>
      <c r="C8" s="21">
        <v>0.2</v>
      </c>
      <c r="D8" s="20" t="s">
        <v>83</v>
      </c>
      <c r="E8" s="20" t="s">
        <v>84</v>
      </c>
      <c r="F8" s="20" t="s">
        <v>85</v>
      </c>
      <c r="G8" s="20" t="s">
        <v>86</v>
      </c>
      <c r="H8" s="21"/>
    </row>
    <row r="9" spans="1:8" ht="64" customHeight="1" x14ac:dyDescent="0.2">
      <c r="A9" s="19" t="s">
        <v>87</v>
      </c>
      <c r="B9" s="20" t="s">
        <v>88</v>
      </c>
      <c r="C9" s="21">
        <v>0.2</v>
      </c>
      <c r="D9" s="20" t="s">
        <v>89</v>
      </c>
      <c r="E9" s="20" t="s">
        <v>90</v>
      </c>
      <c r="F9" s="20" t="s">
        <v>91</v>
      </c>
      <c r="G9" s="20" t="s">
        <v>92</v>
      </c>
      <c r="H9" s="21"/>
    </row>
    <row r="10" spans="1:8" ht="64" customHeight="1" x14ac:dyDescent="0.2">
      <c r="A10" s="19" t="s">
        <v>93</v>
      </c>
      <c r="B10" s="20" t="s">
        <v>94</v>
      </c>
      <c r="C10" s="21">
        <v>0.3</v>
      </c>
      <c r="D10" s="20" t="s">
        <v>95</v>
      </c>
      <c r="E10" s="20" t="s">
        <v>96</v>
      </c>
      <c r="F10" s="20" t="s">
        <v>97</v>
      </c>
      <c r="G10" s="20" t="s">
        <v>98</v>
      </c>
      <c r="H10" s="21"/>
    </row>
    <row r="11" spans="1:8" ht="47" customHeight="1" x14ac:dyDescent="0.2">
      <c r="A11" s="19" t="s">
        <v>99</v>
      </c>
      <c r="B11" s="20" t="s">
        <v>100</v>
      </c>
      <c r="C11" s="21">
        <v>0.1</v>
      </c>
      <c r="D11" s="20" t="s">
        <v>101</v>
      </c>
      <c r="E11" s="20" t="s">
        <v>102</v>
      </c>
      <c r="F11" s="20" t="s">
        <v>103</v>
      </c>
      <c r="G11" s="20" t="s">
        <v>104</v>
      </c>
      <c r="H11" s="21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ht="16" x14ac:dyDescent="0.2">
      <c r="A13" s="16" t="s">
        <v>32</v>
      </c>
      <c r="B13" s="4"/>
      <c r="C13" s="22">
        <f>ROUND(SUMPRODUCT(C7:C11,H7:H11)/3*10,2)</f>
        <v>0</v>
      </c>
      <c r="D13" s="4"/>
      <c r="E13" s="4"/>
      <c r="F13" s="4"/>
      <c r="G13" s="4"/>
      <c r="H13" s="4"/>
    </row>
    <row r="14" spans="1:8" ht="32" customHeight="1" x14ac:dyDescent="0.2">
      <c r="A14" s="16" t="s">
        <v>33</v>
      </c>
      <c r="B14" s="4"/>
      <c r="C14" s="23" t="str">
        <f>IF(C13&gt;=3.5,"Supera","No supera")</f>
        <v>No supera</v>
      </c>
      <c r="D14" s="4"/>
      <c r="E14" s="4"/>
      <c r="F14" s="4"/>
      <c r="G14" s="4"/>
      <c r="H14" s="4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9" t="s">
        <v>105</v>
      </c>
      <c r="B16" s="47"/>
      <c r="C16" s="47"/>
      <c r="D16" s="47"/>
      <c r="E16" s="47"/>
      <c r="F16" s="47"/>
      <c r="G16" s="47"/>
      <c r="H16" s="47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:H1"/>
    <mergeCell ref="F3:H3"/>
    <mergeCell ref="B3:D3"/>
    <mergeCell ref="A16:H16"/>
    <mergeCell ref="A2:H2"/>
    <mergeCell ref="B4:D4"/>
    <mergeCell ref="F4:H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selection sqref="A1:H1"/>
    </sheetView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9" customHeight="1" x14ac:dyDescent="0.25">
      <c r="A1" s="50" t="s">
        <v>106</v>
      </c>
      <c r="B1" s="47"/>
      <c r="C1" s="47"/>
      <c r="D1" s="47"/>
      <c r="E1" s="47"/>
      <c r="F1" s="47"/>
      <c r="G1" s="47"/>
      <c r="H1" s="47"/>
    </row>
    <row r="2" spans="1:8" x14ac:dyDescent="0.2">
      <c r="A2" s="48" t="s">
        <v>107</v>
      </c>
      <c r="B2" s="47"/>
      <c r="C2" s="47"/>
      <c r="D2" s="47"/>
      <c r="E2" s="47"/>
      <c r="F2" s="47"/>
      <c r="G2" s="47"/>
      <c r="H2" s="47"/>
    </row>
    <row r="3" spans="1:8" x14ac:dyDescent="0.2">
      <c r="A3" s="16" t="s">
        <v>2</v>
      </c>
      <c r="B3" s="46"/>
      <c r="C3" s="47"/>
      <c r="D3" s="47"/>
      <c r="E3" s="16" t="s">
        <v>3</v>
      </c>
      <c r="F3" s="46"/>
      <c r="G3" s="47"/>
      <c r="H3" s="47"/>
    </row>
    <row r="4" spans="1:8" x14ac:dyDescent="0.2">
      <c r="A4" s="16" t="s">
        <v>4</v>
      </c>
      <c r="B4" s="46"/>
      <c r="C4" s="47"/>
      <c r="D4" s="47"/>
      <c r="E4" s="16" t="s">
        <v>5</v>
      </c>
      <c r="F4" s="46"/>
      <c r="G4" s="47"/>
      <c r="H4" s="47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16" customHeight="1" x14ac:dyDescent="0.2">
      <c r="A6" s="18" t="s">
        <v>6</v>
      </c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18" t="s">
        <v>13</v>
      </c>
    </row>
    <row r="7" spans="1:8" ht="64" customHeight="1" x14ac:dyDescent="0.2">
      <c r="A7" s="19" t="s">
        <v>108</v>
      </c>
      <c r="B7" s="20" t="s">
        <v>109</v>
      </c>
      <c r="C7" s="21">
        <v>0.25</v>
      </c>
      <c r="D7" s="20" t="s">
        <v>110</v>
      </c>
      <c r="E7" s="20" t="s">
        <v>111</v>
      </c>
      <c r="F7" s="20" t="s">
        <v>112</v>
      </c>
      <c r="G7" s="20" t="s">
        <v>113</v>
      </c>
      <c r="H7" s="21"/>
    </row>
    <row r="8" spans="1:8" ht="48" customHeight="1" x14ac:dyDescent="0.2">
      <c r="A8" s="19" t="s">
        <v>114</v>
      </c>
      <c r="B8" s="20" t="s">
        <v>115</v>
      </c>
      <c r="C8" s="21">
        <v>0.15</v>
      </c>
      <c r="D8" s="20" t="s">
        <v>116</v>
      </c>
      <c r="E8" s="20" t="s">
        <v>117</v>
      </c>
      <c r="F8" s="20" t="s">
        <v>118</v>
      </c>
      <c r="G8" s="20" t="s">
        <v>119</v>
      </c>
      <c r="H8" s="21"/>
    </row>
    <row r="9" spans="1:8" ht="48" customHeight="1" x14ac:dyDescent="0.2">
      <c r="A9" s="19" t="s">
        <v>120</v>
      </c>
      <c r="B9" s="20" t="s">
        <v>121</v>
      </c>
      <c r="C9" s="21">
        <v>0.25</v>
      </c>
      <c r="D9" s="20" t="s">
        <v>122</v>
      </c>
      <c r="E9" s="20" t="s">
        <v>123</v>
      </c>
      <c r="F9" s="20" t="s">
        <v>124</v>
      </c>
      <c r="G9" s="20" t="s">
        <v>125</v>
      </c>
      <c r="H9" s="21"/>
    </row>
    <row r="10" spans="1:8" ht="48" customHeight="1" x14ac:dyDescent="0.2">
      <c r="A10" s="19" t="s">
        <v>126</v>
      </c>
      <c r="B10" s="20" t="s">
        <v>127</v>
      </c>
      <c r="C10" s="21">
        <v>0.15</v>
      </c>
      <c r="D10" s="20" t="s">
        <v>128</v>
      </c>
      <c r="E10" s="20" t="s">
        <v>129</v>
      </c>
      <c r="F10" s="20" t="s">
        <v>130</v>
      </c>
      <c r="G10" s="20" t="s">
        <v>131</v>
      </c>
      <c r="H10" s="21"/>
    </row>
    <row r="11" spans="1:8" ht="48" customHeight="1" x14ac:dyDescent="0.2">
      <c r="A11" s="19" t="s">
        <v>60</v>
      </c>
      <c r="B11" s="20" t="s">
        <v>132</v>
      </c>
      <c r="C11" s="21">
        <v>0.2</v>
      </c>
      <c r="D11" s="20" t="s">
        <v>16</v>
      </c>
      <c r="E11" s="20" t="s">
        <v>17</v>
      </c>
      <c r="F11" s="20" t="s">
        <v>18</v>
      </c>
      <c r="G11" s="20" t="s">
        <v>133</v>
      </c>
      <c r="H11" s="21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ht="16" x14ac:dyDescent="0.2">
      <c r="A13" s="16" t="s">
        <v>32</v>
      </c>
      <c r="B13" s="4"/>
      <c r="C13" s="22">
        <f>ROUND(SUMPRODUCT(C7:C11,H7:H11)/3*10,2)</f>
        <v>0</v>
      </c>
      <c r="D13" s="4"/>
      <c r="E13" s="4"/>
      <c r="F13" s="4"/>
      <c r="G13" s="4"/>
      <c r="H13" s="4"/>
    </row>
    <row r="14" spans="1:8" ht="32" customHeight="1" x14ac:dyDescent="0.2">
      <c r="A14" s="16" t="s">
        <v>33</v>
      </c>
      <c r="B14" s="4"/>
      <c r="C14" s="23" t="str">
        <f>IF(C13&gt;=3.5,"Supera","No supera")</f>
        <v>No supera</v>
      </c>
      <c r="D14" s="4"/>
      <c r="E14" s="4"/>
      <c r="F14" s="4"/>
      <c r="G14" s="4"/>
      <c r="H14" s="4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9" t="s">
        <v>34</v>
      </c>
      <c r="B16" s="47"/>
      <c r="C16" s="47"/>
      <c r="D16" s="47"/>
      <c r="E16" s="47"/>
      <c r="F16" s="47"/>
      <c r="G16" s="47"/>
      <c r="H16" s="47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:H1"/>
    <mergeCell ref="F3:H3"/>
    <mergeCell ref="B3:D3"/>
    <mergeCell ref="A16:H16"/>
    <mergeCell ref="A2:H2"/>
    <mergeCell ref="B4:D4"/>
    <mergeCell ref="F4:H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A7" sqref="A7:C9"/>
    </sheetView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7.25" customHeight="1" x14ac:dyDescent="0.2">
      <c r="A1" s="57" t="s">
        <v>134</v>
      </c>
      <c r="B1" s="47"/>
      <c r="C1" s="47"/>
      <c r="D1" s="47"/>
      <c r="E1" s="47"/>
      <c r="F1" s="47"/>
      <c r="G1" s="47"/>
      <c r="H1" s="47"/>
    </row>
    <row r="2" spans="1:8" ht="15" customHeight="1" x14ac:dyDescent="0.2">
      <c r="A2" s="55" t="s">
        <v>135</v>
      </c>
      <c r="B2" s="47"/>
      <c r="C2" s="47"/>
      <c r="D2" s="47"/>
      <c r="E2" s="47"/>
      <c r="F2" s="47"/>
      <c r="G2" s="47"/>
      <c r="H2" s="47"/>
    </row>
    <row r="3" spans="1:8" ht="15" customHeight="1" x14ac:dyDescent="0.2">
      <c r="A3" s="9" t="s">
        <v>136</v>
      </c>
      <c r="B3" s="52"/>
      <c r="C3" s="53"/>
      <c r="D3" s="54"/>
      <c r="E3" s="9" t="s">
        <v>3</v>
      </c>
      <c r="F3" s="52"/>
      <c r="G3" s="53"/>
      <c r="H3" s="54"/>
    </row>
    <row r="4" spans="1:8" ht="15" customHeight="1" x14ac:dyDescent="0.2">
      <c r="A4" s="9" t="s">
        <v>4</v>
      </c>
      <c r="B4" s="52"/>
      <c r="C4" s="53"/>
      <c r="D4" s="54"/>
      <c r="E4" s="9" t="s">
        <v>5</v>
      </c>
      <c r="F4" s="52"/>
      <c r="G4" s="53"/>
      <c r="H4" s="54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26.25" customHeight="1" x14ac:dyDescent="0.2">
      <c r="A6" s="24" t="s">
        <v>137</v>
      </c>
      <c r="B6" s="24" t="s">
        <v>138</v>
      </c>
      <c r="C6" s="24" t="s">
        <v>8</v>
      </c>
      <c r="D6" s="24" t="s">
        <v>9</v>
      </c>
      <c r="E6" s="24" t="s">
        <v>10</v>
      </c>
      <c r="F6" s="24" t="s">
        <v>11</v>
      </c>
      <c r="G6" s="24" t="s">
        <v>12</v>
      </c>
      <c r="H6" s="24" t="s">
        <v>13</v>
      </c>
    </row>
    <row r="7" spans="1:8" ht="72" customHeight="1" x14ac:dyDescent="0.2">
      <c r="A7" s="25" t="s">
        <v>139</v>
      </c>
      <c r="B7" s="26" t="s">
        <v>140</v>
      </c>
      <c r="C7" s="27">
        <v>0.4</v>
      </c>
      <c r="D7" s="28" t="s">
        <v>141</v>
      </c>
      <c r="E7" s="28" t="s">
        <v>142</v>
      </c>
      <c r="F7" s="28" t="s">
        <v>143</v>
      </c>
      <c r="G7" s="28" t="s">
        <v>144</v>
      </c>
      <c r="H7" s="29"/>
    </row>
    <row r="8" spans="1:8" ht="72" customHeight="1" x14ac:dyDescent="0.2">
      <c r="A8" s="25" t="s">
        <v>145</v>
      </c>
      <c r="B8" s="26" t="s">
        <v>146</v>
      </c>
      <c r="C8" s="27">
        <v>0.35</v>
      </c>
      <c r="D8" s="28" t="s">
        <v>147</v>
      </c>
      <c r="E8" s="28" t="s">
        <v>148</v>
      </c>
      <c r="F8" s="28" t="s">
        <v>149</v>
      </c>
      <c r="G8" s="28" t="s">
        <v>150</v>
      </c>
      <c r="H8" s="29"/>
    </row>
    <row r="9" spans="1:8" ht="72" customHeight="1" x14ac:dyDescent="0.2">
      <c r="A9" s="25" t="s">
        <v>151</v>
      </c>
      <c r="B9" s="26" t="s">
        <v>152</v>
      </c>
      <c r="C9" s="27">
        <v>0.25</v>
      </c>
      <c r="D9" s="28" t="s">
        <v>153</v>
      </c>
      <c r="E9" s="28" t="s">
        <v>154</v>
      </c>
      <c r="F9" s="28" t="s">
        <v>155</v>
      </c>
      <c r="G9" s="28" t="s">
        <v>156</v>
      </c>
      <c r="H9" s="29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ht="15" customHeight="1" x14ac:dyDescent="0.2">
      <c r="A11" s="9" t="s">
        <v>157</v>
      </c>
      <c r="B11" s="4"/>
      <c r="C11" s="30">
        <f>ROUND(SUMPRODUCT(C7:C9,H7:H9)/3*10,2)</f>
        <v>0</v>
      </c>
      <c r="D11" s="4"/>
      <c r="E11" s="4"/>
      <c r="F11" s="4"/>
      <c r="G11" s="4"/>
      <c r="H11" s="4"/>
    </row>
    <row r="12" spans="1:8" ht="26.25" customHeight="1" x14ac:dyDescent="0.2">
      <c r="A12" s="9" t="s">
        <v>158</v>
      </c>
      <c r="B12" s="4"/>
      <c r="C12" s="30" t="str">
        <f>IF(AND(C11&gt;=3.5,H7&gt;=1),"Supera","No supera")</f>
        <v>No supera</v>
      </c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ht="30" customHeight="1" x14ac:dyDescent="0.2">
      <c r="A14" s="56" t="s">
        <v>159</v>
      </c>
      <c r="B14" s="47"/>
      <c r="C14" s="47"/>
      <c r="D14" s="47"/>
      <c r="E14" s="47"/>
      <c r="F14" s="47"/>
      <c r="G14" s="47"/>
      <c r="H14" s="47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:H1"/>
    <mergeCell ref="F3:H3"/>
    <mergeCell ref="B3:D3"/>
    <mergeCell ref="A2:H2"/>
    <mergeCell ref="B4:D4"/>
    <mergeCell ref="F4:H4"/>
    <mergeCell ref="A14:H14"/>
  </mergeCells>
  <dataValidations count="1">
    <dataValidation type="list" allowBlank="1" sqref="H7:H9" xr:uid="{00000000-0002-0000-0400-000000000000}">
      <formula1>"0,1,2,3"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showGridLines="0" workbookViewId="0">
      <selection sqref="A1:H1"/>
    </sheetView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9" customHeight="1" x14ac:dyDescent="0.25">
      <c r="A1" s="50" t="s">
        <v>160</v>
      </c>
      <c r="B1" s="47"/>
      <c r="C1" s="47"/>
      <c r="D1" s="47"/>
      <c r="E1" s="47"/>
      <c r="F1" s="47"/>
      <c r="G1" s="47"/>
      <c r="H1" s="47"/>
    </row>
    <row r="2" spans="1:8" x14ac:dyDescent="0.2">
      <c r="A2" s="48" t="s">
        <v>161</v>
      </c>
      <c r="B2" s="47"/>
      <c r="C2" s="47"/>
      <c r="D2" s="47"/>
      <c r="E2" s="47"/>
      <c r="F2" s="47"/>
      <c r="G2" s="47"/>
      <c r="H2" s="47"/>
    </row>
    <row r="3" spans="1:8" x14ac:dyDescent="0.2">
      <c r="A3" s="16" t="s">
        <v>2</v>
      </c>
      <c r="B3" s="46"/>
      <c r="C3" s="47"/>
      <c r="D3" s="47"/>
      <c r="E3" s="16" t="s">
        <v>3</v>
      </c>
      <c r="F3" s="46"/>
      <c r="G3" s="47"/>
      <c r="H3" s="47"/>
    </row>
    <row r="4" spans="1:8" x14ac:dyDescent="0.2">
      <c r="A4" s="16" t="s">
        <v>4</v>
      </c>
      <c r="B4" s="46"/>
      <c r="C4" s="47"/>
      <c r="D4" s="47"/>
      <c r="E4" s="16" t="s">
        <v>5</v>
      </c>
      <c r="F4" s="46"/>
      <c r="G4" s="47"/>
      <c r="H4" s="47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16" customHeight="1" x14ac:dyDescent="0.2">
      <c r="A6" s="18" t="s">
        <v>6</v>
      </c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18" t="s">
        <v>13</v>
      </c>
    </row>
    <row r="7" spans="1:8" ht="48" customHeight="1" x14ac:dyDescent="0.2">
      <c r="A7" s="19" t="s">
        <v>162</v>
      </c>
      <c r="B7" s="20" t="s">
        <v>163</v>
      </c>
      <c r="C7" s="21">
        <v>0.35</v>
      </c>
      <c r="D7" s="20" t="s">
        <v>164</v>
      </c>
      <c r="E7" s="20" t="s">
        <v>142</v>
      </c>
      <c r="F7" s="20" t="s">
        <v>165</v>
      </c>
      <c r="G7" s="20" t="s">
        <v>166</v>
      </c>
      <c r="H7" s="21"/>
    </row>
    <row r="8" spans="1:8" ht="48" customHeight="1" x14ac:dyDescent="0.2">
      <c r="A8" s="19" t="s">
        <v>167</v>
      </c>
      <c r="B8" s="20" t="s">
        <v>168</v>
      </c>
      <c r="C8" s="21">
        <v>0.25</v>
      </c>
      <c r="D8" s="20" t="s">
        <v>169</v>
      </c>
      <c r="E8" s="20" t="s">
        <v>170</v>
      </c>
      <c r="F8" s="20" t="s">
        <v>171</v>
      </c>
      <c r="G8" s="20" t="s">
        <v>172</v>
      </c>
      <c r="H8" s="21"/>
    </row>
    <row r="9" spans="1:8" ht="32" customHeight="1" x14ac:dyDescent="0.2">
      <c r="A9" s="19" t="s">
        <v>173</v>
      </c>
      <c r="B9" s="20" t="s">
        <v>174</v>
      </c>
      <c r="C9" s="21">
        <v>0.2</v>
      </c>
      <c r="D9" s="20" t="s">
        <v>175</v>
      </c>
      <c r="E9" s="20" t="s">
        <v>176</v>
      </c>
      <c r="F9" s="20" t="s">
        <v>177</v>
      </c>
      <c r="G9" s="20" t="s">
        <v>178</v>
      </c>
      <c r="H9" s="21"/>
    </row>
    <row r="10" spans="1:8" ht="48" customHeight="1" x14ac:dyDescent="0.2">
      <c r="A10" s="19" t="s">
        <v>179</v>
      </c>
      <c r="B10" s="20" t="s">
        <v>180</v>
      </c>
      <c r="C10" s="21">
        <v>0.2</v>
      </c>
      <c r="D10" s="20" t="s">
        <v>181</v>
      </c>
      <c r="E10" s="20" t="s">
        <v>182</v>
      </c>
      <c r="F10" s="20" t="s">
        <v>183</v>
      </c>
      <c r="G10" s="20" t="s">
        <v>184</v>
      </c>
      <c r="H10" s="21"/>
    </row>
    <row r="11" spans="1:8" x14ac:dyDescent="0.2">
      <c r="A11" s="4"/>
      <c r="B11" s="4"/>
      <c r="C11" s="4"/>
      <c r="D11" s="4"/>
      <c r="E11" s="4"/>
      <c r="F11" s="4"/>
      <c r="G11" s="4"/>
      <c r="H11" s="4"/>
    </row>
    <row r="12" spans="1:8" ht="16" x14ac:dyDescent="0.2">
      <c r="A12" s="16" t="s">
        <v>32</v>
      </c>
      <c r="B12" s="4"/>
      <c r="C12" s="22">
        <f>ROUND(SUMPRODUCT(C7:C10,H7:H10)/3*10,2)</f>
        <v>0</v>
      </c>
      <c r="D12" s="4"/>
      <c r="E12" s="4"/>
      <c r="F12" s="4"/>
      <c r="G12" s="4"/>
      <c r="H12" s="4"/>
    </row>
    <row r="13" spans="1:8" ht="32" customHeight="1" x14ac:dyDescent="0.2">
      <c r="A13" s="16" t="s">
        <v>33</v>
      </c>
      <c r="B13" s="4"/>
      <c r="C13" s="23" t="str">
        <f>IF(C12&gt;=3.5,"Supera","No supera")</f>
        <v>No supera</v>
      </c>
      <c r="D13" s="4"/>
      <c r="E13" s="4"/>
      <c r="F13" s="4"/>
      <c r="G13" s="4"/>
      <c r="H13" s="4"/>
    </row>
    <row r="14" spans="1:8" x14ac:dyDescent="0.2">
      <c r="A14" s="4"/>
      <c r="B14" s="4"/>
      <c r="C14" s="4"/>
      <c r="D14" s="4"/>
      <c r="E14" s="4"/>
      <c r="F14" s="4"/>
      <c r="G14" s="4"/>
      <c r="H14" s="4"/>
    </row>
    <row r="15" spans="1:8" x14ac:dyDescent="0.2">
      <c r="A15" s="49" t="s">
        <v>34</v>
      </c>
      <c r="B15" s="47"/>
      <c r="C15" s="47"/>
      <c r="D15" s="47"/>
      <c r="E15" s="47"/>
      <c r="F15" s="47"/>
      <c r="G15" s="47"/>
      <c r="H15" s="47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:H1"/>
    <mergeCell ref="F3:H3"/>
    <mergeCell ref="B3:D3"/>
    <mergeCell ref="A15:H15"/>
    <mergeCell ref="A2:H2"/>
    <mergeCell ref="B4:D4"/>
    <mergeCell ref="F4:H4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showGridLines="0" workbookViewId="0">
      <selection activeCell="B8" sqref="B8"/>
    </sheetView>
  </sheetViews>
  <sheetFormatPr baseColWidth="10" defaultColWidth="14.5" defaultRowHeight="15" customHeight="1" x14ac:dyDescent="0.2"/>
  <cols>
    <col min="1" max="1" width="30" customWidth="1"/>
    <col min="2" max="2" width="34" customWidth="1"/>
    <col min="3" max="3" width="8" customWidth="1"/>
    <col min="4" max="6" width="26" customWidth="1"/>
    <col min="7" max="7" width="28" customWidth="1"/>
    <col min="8" max="8" width="11" customWidth="1"/>
  </cols>
  <sheetData>
    <row r="1" spans="1:8" ht="19" customHeight="1" x14ac:dyDescent="0.25">
      <c r="A1" s="50" t="s">
        <v>0</v>
      </c>
      <c r="B1" s="47"/>
      <c r="C1" s="47"/>
      <c r="D1" s="47"/>
      <c r="E1" s="47"/>
      <c r="F1" s="47"/>
      <c r="G1" s="47"/>
      <c r="H1" s="47"/>
    </row>
    <row r="2" spans="1:8" x14ac:dyDescent="0.2">
      <c r="A2" s="48" t="s">
        <v>1</v>
      </c>
      <c r="B2" s="47"/>
      <c r="C2" s="47"/>
      <c r="D2" s="47"/>
      <c r="E2" s="47"/>
      <c r="F2" s="47"/>
      <c r="G2" s="47"/>
      <c r="H2" s="47"/>
    </row>
    <row r="3" spans="1:8" x14ac:dyDescent="0.2">
      <c r="A3" s="16" t="s">
        <v>2</v>
      </c>
      <c r="B3" s="46"/>
      <c r="C3" s="47"/>
      <c r="D3" s="47"/>
      <c r="E3" s="16" t="s">
        <v>3</v>
      </c>
      <c r="F3" s="46"/>
      <c r="G3" s="47"/>
      <c r="H3" s="47"/>
    </row>
    <row r="4" spans="1:8" x14ac:dyDescent="0.2">
      <c r="A4" s="16" t="s">
        <v>4</v>
      </c>
      <c r="B4" s="46"/>
      <c r="C4" s="47"/>
      <c r="D4" s="47"/>
      <c r="E4" s="16" t="s">
        <v>5</v>
      </c>
      <c r="F4" s="46"/>
      <c r="G4" s="47"/>
      <c r="H4" s="47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ht="16" customHeight="1" x14ac:dyDescent="0.2">
      <c r="A6" s="18" t="s">
        <v>6</v>
      </c>
      <c r="B6" s="18" t="s">
        <v>7</v>
      </c>
      <c r="C6" s="18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18" t="s">
        <v>13</v>
      </c>
    </row>
    <row r="7" spans="1:8" ht="48" customHeight="1" x14ac:dyDescent="0.2">
      <c r="A7" s="19" t="s">
        <v>14</v>
      </c>
      <c r="B7" s="20" t="s">
        <v>15</v>
      </c>
      <c r="C7" s="21">
        <v>0.4</v>
      </c>
      <c r="D7" s="20" t="s">
        <v>16</v>
      </c>
      <c r="E7" s="20" t="s">
        <v>17</v>
      </c>
      <c r="F7" s="20" t="s">
        <v>18</v>
      </c>
      <c r="G7" s="20" t="s">
        <v>19</v>
      </c>
      <c r="H7" s="21"/>
    </row>
    <row r="8" spans="1:8" ht="48" customHeight="1" x14ac:dyDescent="0.2">
      <c r="A8" s="19" t="s">
        <v>20</v>
      </c>
      <c r="B8" s="20" t="s">
        <v>21</v>
      </c>
      <c r="C8" s="21">
        <v>0.35</v>
      </c>
      <c r="D8" s="20" t="s">
        <v>22</v>
      </c>
      <c r="E8" s="20" t="s">
        <v>23</v>
      </c>
      <c r="F8" s="20" t="s">
        <v>24</v>
      </c>
      <c r="G8" s="20" t="s">
        <v>25</v>
      </c>
      <c r="H8" s="21"/>
    </row>
    <row r="9" spans="1:8" ht="32" customHeight="1" x14ac:dyDescent="0.2">
      <c r="A9" s="19" t="s">
        <v>26</v>
      </c>
      <c r="B9" s="20" t="s">
        <v>27</v>
      </c>
      <c r="C9" s="21">
        <v>0.25</v>
      </c>
      <c r="D9" s="20" t="s">
        <v>28</v>
      </c>
      <c r="E9" s="20" t="s">
        <v>29</v>
      </c>
      <c r="F9" s="20" t="s">
        <v>30</v>
      </c>
      <c r="G9" s="20" t="s">
        <v>31</v>
      </c>
      <c r="H9" s="21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ht="16" x14ac:dyDescent="0.2">
      <c r="A11" s="16" t="s">
        <v>32</v>
      </c>
      <c r="B11" s="4"/>
      <c r="C11" s="22">
        <f>ROUND(SUMPRODUCT(C7:C9,H7:H9)/3*10,2)</f>
        <v>0</v>
      </c>
      <c r="D11" s="4"/>
      <c r="E11" s="4"/>
      <c r="F11" s="4"/>
      <c r="G11" s="4"/>
      <c r="H11" s="4"/>
    </row>
    <row r="12" spans="1:8" ht="32" customHeight="1" x14ac:dyDescent="0.2">
      <c r="A12" s="16" t="s">
        <v>33</v>
      </c>
      <c r="B12" s="4"/>
      <c r="C12" s="23" t="str">
        <f>IF(C11&gt;=3.5,"Supera","No supera")</f>
        <v>No supera</v>
      </c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x14ac:dyDescent="0.2">
      <c r="A14" s="49" t="s">
        <v>34</v>
      </c>
      <c r="B14" s="47"/>
      <c r="C14" s="47"/>
      <c r="D14" s="47"/>
      <c r="E14" s="47"/>
      <c r="F14" s="47"/>
      <c r="G14" s="47"/>
      <c r="H14" s="47"/>
    </row>
    <row r="15" spans="1:8" x14ac:dyDescent="0.2">
      <c r="A15" s="4"/>
      <c r="B15" s="4"/>
      <c r="C15" s="4"/>
      <c r="D15" s="4"/>
      <c r="E15" s="4"/>
      <c r="F15" s="4"/>
      <c r="G15" s="4"/>
      <c r="H15" s="4"/>
    </row>
    <row r="16" spans="1:8" x14ac:dyDescent="0.2">
      <c r="A16" s="4"/>
      <c r="B16" s="4"/>
      <c r="C16" s="4"/>
      <c r="D16" s="4"/>
      <c r="E16" s="4"/>
      <c r="F16" s="4"/>
      <c r="G16" s="4"/>
      <c r="H16" s="4"/>
    </row>
    <row r="17" spans="1:8" x14ac:dyDescent="0.2">
      <c r="A17" s="4"/>
      <c r="B17" s="4"/>
      <c r="C17" s="4"/>
      <c r="D17" s="4"/>
      <c r="E17" s="4"/>
      <c r="F17" s="4"/>
      <c r="G17" s="4"/>
      <c r="H17" s="4"/>
    </row>
    <row r="18" spans="1:8" x14ac:dyDescent="0.2">
      <c r="A18" s="4"/>
      <c r="B18" s="4"/>
      <c r="C18" s="4"/>
      <c r="D18" s="4"/>
      <c r="E18" s="4"/>
      <c r="F18" s="4"/>
      <c r="G18" s="4"/>
      <c r="H18" s="4"/>
    </row>
    <row r="19" spans="1:8" x14ac:dyDescent="0.2">
      <c r="A19" s="4"/>
      <c r="B19" s="4"/>
      <c r="C19" s="4"/>
      <c r="D19" s="4"/>
      <c r="E19" s="4"/>
      <c r="F19" s="4"/>
      <c r="G19" s="4"/>
      <c r="H19" s="4"/>
    </row>
    <row r="20" spans="1:8" x14ac:dyDescent="0.2">
      <c r="A20" s="4"/>
      <c r="B20" s="4"/>
      <c r="C20" s="4"/>
      <c r="D20" s="4"/>
      <c r="E20" s="4"/>
      <c r="F20" s="4"/>
      <c r="G20" s="4"/>
      <c r="H20" s="4"/>
    </row>
    <row r="21" spans="1:8" ht="15.7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.75" customHeight="1" x14ac:dyDescent="0.2">
      <c r="A22" s="4"/>
      <c r="B22" s="4"/>
      <c r="C22" s="4"/>
      <c r="D22" s="4"/>
      <c r="E22" s="4"/>
      <c r="F22" s="4"/>
      <c r="G22" s="4"/>
      <c r="H22" s="4"/>
    </row>
    <row r="23" spans="1:8" ht="15.75" customHeight="1" x14ac:dyDescent="0.2">
      <c r="A23" s="4"/>
      <c r="B23" s="4"/>
      <c r="C23" s="4"/>
      <c r="D23" s="4"/>
      <c r="E23" s="4"/>
      <c r="F23" s="4"/>
      <c r="G23" s="4"/>
      <c r="H23" s="4"/>
    </row>
    <row r="24" spans="1:8" ht="15.75" customHeight="1" x14ac:dyDescent="0.2">
      <c r="A24" s="4"/>
      <c r="B24" s="4"/>
      <c r="C24" s="4"/>
      <c r="D24" s="4"/>
      <c r="E24" s="4"/>
      <c r="F24" s="4"/>
      <c r="G24" s="4"/>
      <c r="H24" s="4"/>
    </row>
    <row r="25" spans="1:8" ht="15.7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.75" customHeight="1" x14ac:dyDescent="0.2">
      <c r="A26" s="4"/>
      <c r="B26" s="4"/>
      <c r="C26" s="4"/>
      <c r="D26" s="4"/>
      <c r="E26" s="4"/>
      <c r="F26" s="4"/>
      <c r="G26" s="4"/>
      <c r="H26" s="4"/>
    </row>
    <row r="27" spans="1:8" ht="15.75" customHeight="1" x14ac:dyDescent="0.2">
      <c r="A27" s="4"/>
      <c r="B27" s="4"/>
      <c r="C27" s="4"/>
      <c r="D27" s="4"/>
      <c r="E27" s="4"/>
      <c r="F27" s="4"/>
      <c r="G27" s="4"/>
      <c r="H27" s="4"/>
    </row>
    <row r="28" spans="1:8" ht="15.75" customHeight="1" x14ac:dyDescent="0.2">
      <c r="A28" s="4"/>
      <c r="B28" s="4"/>
      <c r="C28" s="4"/>
      <c r="D28" s="4"/>
      <c r="E28" s="4"/>
      <c r="F28" s="4"/>
      <c r="G28" s="4"/>
      <c r="H28" s="4"/>
    </row>
    <row r="29" spans="1:8" ht="15.75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5.7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ht="15.75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5.7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.75" customHeight="1" x14ac:dyDescent="0.2">
      <c r="A33" s="4"/>
      <c r="B33" s="4"/>
      <c r="C33" s="4"/>
      <c r="D33" s="4"/>
      <c r="E33" s="4"/>
      <c r="F33" s="4"/>
      <c r="G33" s="4"/>
      <c r="H33" s="4"/>
    </row>
    <row r="34" spans="1:8" ht="15.7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ht="15.75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5.75" customHeight="1" x14ac:dyDescent="0.2">
      <c r="A36" s="4"/>
      <c r="B36" s="4"/>
      <c r="C36" s="4"/>
      <c r="D36" s="4"/>
      <c r="E36" s="4"/>
      <c r="F36" s="4"/>
      <c r="G36" s="4"/>
      <c r="H36" s="4"/>
    </row>
    <row r="37" spans="1:8" ht="15.75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5.75" customHeight="1" x14ac:dyDescent="0.2">
      <c r="A38" s="4"/>
      <c r="B38" s="4"/>
      <c r="C38" s="4"/>
      <c r="D38" s="4"/>
      <c r="E38" s="4"/>
      <c r="F38" s="4"/>
      <c r="G38" s="4"/>
      <c r="H38" s="4"/>
    </row>
    <row r="39" spans="1:8" ht="15.7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.75" customHeight="1" x14ac:dyDescent="0.2">
      <c r="A40" s="4"/>
      <c r="B40" s="4"/>
      <c r="C40" s="4"/>
      <c r="D40" s="4"/>
      <c r="E40" s="4"/>
      <c r="F40" s="4"/>
      <c r="G40" s="4"/>
      <c r="H40" s="4"/>
    </row>
    <row r="41" spans="1:8" ht="15.75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5.75" customHeight="1" x14ac:dyDescent="0.2">
      <c r="A42" s="4"/>
      <c r="B42" s="4"/>
      <c r="C42" s="4"/>
      <c r="D42" s="4"/>
      <c r="E42" s="4"/>
      <c r="F42" s="4"/>
      <c r="G42" s="4"/>
      <c r="H42" s="4"/>
    </row>
    <row r="43" spans="1:8" ht="15.75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5.75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5.75" customHeight="1" x14ac:dyDescent="0.2">
      <c r="A45" s="4"/>
      <c r="B45" s="4"/>
      <c r="C45" s="4"/>
      <c r="D45" s="4"/>
      <c r="E45" s="4"/>
      <c r="F45" s="4"/>
      <c r="G45" s="4"/>
      <c r="H45" s="4"/>
    </row>
    <row r="46" spans="1:8" ht="15.75" customHeight="1" x14ac:dyDescent="0.2">
      <c r="A46" s="4"/>
      <c r="B46" s="4"/>
      <c r="C46" s="4"/>
      <c r="D46" s="4"/>
      <c r="E46" s="4"/>
      <c r="F46" s="4"/>
      <c r="G46" s="4"/>
      <c r="H46" s="4"/>
    </row>
    <row r="47" spans="1:8" ht="15.75" customHeight="1" x14ac:dyDescent="0.2">
      <c r="A47" s="4"/>
      <c r="B47" s="4"/>
      <c r="C47" s="4"/>
      <c r="D47" s="4"/>
      <c r="E47" s="4"/>
      <c r="F47" s="4"/>
      <c r="G47" s="4"/>
      <c r="H47" s="4"/>
    </row>
    <row r="48" spans="1:8" ht="15.75" customHeight="1" x14ac:dyDescent="0.2">
      <c r="A48" s="4"/>
      <c r="B48" s="4"/>
      <c r="C48" s="4"/>
      <c r="D48" s="4"/>
      <c r="E48" s="4"/>
      <c r="F48" s="4"/>
      <c r="G48" s="4"/>
      <c r="H48" s="4"/>
    </row>
    <row r="49" spans="1:8" ht="15.75" customHeight="1" x14ac:dyDescent="0.2">
      <c r="A49" s="4"/>
      <c r="B49" s="4"/>
      <c r="C49" s="4"/>
      <c r="D49" s="4"/>
      <c r="E49" s="4"/>
      <c r="F49" s="4"/>
      <c r="G49" s="4"/>
      <c r="H49" s="4"/>
    </row>
    <row r="50" spans="1:8" ht="15.75" customHeight="1" x14ac:dyDescent="0.2">
      <c r="A50" s="4"/>
      <c r="B50" s="4"/>
      <c r="C50" s="4"/>
      <c r="D50" s="4"/>
      <c r="E50" s="4"/>
      <c r="F50" s="4"/>
      <c r="G50" s="4"/>
      <c r="H50" s="4"/>
    </row>
    <row r="51" spans="1:8" ht="15.75" customHeight="1" x14ac:dyDescent="0.2">
      <c r="A51" s="4"/>
      <c r="B51" s="4"/>
      <c r="C51" s="4"/>
      <c r="D51" s="4"/>
      <c r="E51" s="4"/>
      <c r="F51" s="4"/>
      <c r="G51" s="4"/>
      <c r="H51" s="4"/>
    </row>
    <row r="52" spans="1:8" ht="15.75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5.75" customHeight="1" x14ac:dyDescent="0.2">
      <c r="A53" s="4"/>
      <c r="B53" s="4"/>
      <c r="C53" s="4"/>
      <c r="D53" s="4"/>
      <c r="E53" s="4"/>
      <c r="F53" s="4"/>
      <c r="G53" s="4"/>
      <c r="H53" s="4"/>
    </row>
    <row r="54" spans="1:8" ht="15.75" customHeight="1" x14ac:dyDescent="0.2">
      <c r="A54" s="4"/>
      <c r="B54" s="4"/>
      <c r="C54" s="4"/>
      <c r="D54" s="4"/>
      <c r="E54" s="4"/>
      <c r="F54" s="4"/>
      <c r="G54" s="4"/>
      <c r="H54" s="4"/>
    </row>
    <row r="55" spans="1:8" ht="15.75" customHeight="1" x14ac:dyDescent="0.2">
      <c r="A55" s="4"/>
      <c r="B55" s="4"/>
      <c r="C55" s="4"/>
      <c r="D55" s="4"/>
      <c r="E55" s="4"/>
      <c r="F55" s="4"/>
      <c r="G55" s="4"/>
      <c r="H55" s="4"/>
    </row>
    <row r="56" spans="1:8" ht="15.75" customHeight="1" x14ac:dyDescent="0.2">
      <c r="A56" s="4"/>
      <c r="B56" s="4"/>
      <c r="C56" s="4"/>
      <c r="D56" s="4"/>
      <c r="E56" s="4"/>
      <c r="F56" s="4"/>
      <c r="G56" s="4"/>
      <c r="H56" s="4"/>
    </row>
    <row r="57" spans="1:8" ht="15.75" customHeight="1" x14ac:dyDescent="0.2">
      <c r="A57" s="4"/>
      <c r="B57" s="4"/>
      <c r="C57" s="4"/>
      <c r="D57" s="4"/>
      <c r="E57" s="4"/>
      <c r="F57" s="4"/>
      <c r="G57" s="4"/>
      <c r="H57" s="4"/>
    </row>
    <row r="58" spans="1:8" ht="15.75" customHeight="1" x14ac:dyDescent="0.2">
      <c r="A58" s="4"/>
      <c r="B58" s="4"/>
      <c r="C58" s="4"/>
      <c r="D58" s="4"/>
      <c r="E58" s="4"/>
      <c r="F58" s="4"/>
      <c r="G58" s="4"/>
      <c r="H58" s="4"/>
    </row>
    <row r="59" spans="1:8" ht="15.75" customHeight="1" x14ac:dyDescent="0.2">
      <c r="A59" s="4"/>
      <c r="B59" s="4"/>
      <c r="C59" s="4"/>
      <c r="D59" s="4"/>
      <c r="E59" s="4"/>
      <c r="F59" s="4"/>
      <c r="G59" s="4"/>
      <c r="H59" s="4"/>
    </row>
    <row r="60" spans="1:8" ht="15.75" customHeight="1" x14ac:dyDescent="0.2">
      <c r="A60" s="4"/>
      <c r="B60" s="4"/>
      <c r="C60" s="4"/>
      <c r="D60" s="4"/>
      <c r="E60" s="4"/>
      <c r="F60" s="4"/>
      <c r="G60" s="4"/>
      <c r="H60" s="4"/>
    </row>
    <row r="61" spans="1:8" ht="15.75" customHeight="1" x14ac:dyDescent="0.2">
      <c r="A61" s="4"/>
      <c r="B61" s="4"/>
      <c r="C61" s="4"/>
      <c r="D61" s="4"/>
      <c r="E61" s="4"/>
      <c r="F61" s="4"/>
      <c r="G61" s="4"/>
      <c r="H61" s="4"/>
    </row>
    <row r="62" spans="1:8" ht="15.75" customHeight="1" x14ac:dyDescent="0.2">
      <c r="A62" s="4"/>
      <c r="B62" s="4"/>
      <c r="C62" s="4"/>
      <c r="D62" s="4"/>
      <c r="E62" s="4"/>
      <c r="F62" s="4"/>
      <c r="G62" s="4"/>
      <c r="H62" s="4"/>
    </row>
    <row r="63" spans="1:8" ht="15.75" customHeight="1" x14ac:dyDescent="0.2">
      <c r="A63" s="4"/>
      <c r="B63" s="4"/>
      <c r="C63" s="4"/>
      <c r="D63" s="4"/>
      <c r="E63" s="4"/>
      <c r="F63" s="4"/>
      <c r="G63" s="4"/>
      <c r="H63" s="4"/>
    </row>
    <row r="64" spans="1:8" ht="15.75" customHeight="1" x14ac:dyDescent="0.2">
      <c r="A64" s="4"/>
      <c r="B64" s="4"/>
      <c r="C64" s="4"/>
      <c r="D64" s="4"/>
      <c r="E64" s="4"/>
      <c r="F64" s="4"/>
      <c r="G64" s="4"/>
      <c r="H64" s="4"/>
    </row>
    <row r="65" spans="1:8" ht="15.75" customHeight="1" x14ac:dyDescent="0.2">
      <c r="A65" s="4"/>
      <c r="B65" s="4"/>
      <c r="C65" s="4"/>
      <c r="D65" s="4"/>
      <c r="E65" s="4"/>
      <c r="F65" s="4"/>
      <c r="G65" s="4"/>
      <c r="H65" s="4"/>
    </row>
    <row r="66" spans="1:8" ht="15.75" customHeight="1" x14ac:dyDescent="0.2">
      <c r="A66" s="4"/>
      <c r="B66" s="4"/>
      <c r="C66" s="4"/>
      <c r="D66" s="4"/>
      <c r="E66" s="4"/>
      <c r="F66" s="4"/>
      <c r="G66" s="4"/>
      <c r="H66" s="4"/>
    </row>
    <row r="67" spans="1:8" ht="15.75" customHeight="1" x14ac:dyDescent="0.2">
      <c r="A67" s="4"/>
      <c r="B67" s="4"/>
      <c r="C67" s="4"/>
      <c r="D67" s="4"/>
      <c r="E67" s="4"/>
      <c r="F67" s="4"/>
      <c r="G67" s="4"/>
      <c r="H67" s="4"/>
    </row>
    <row r="68" spans="1:8" ht="15.75" customHeight="1" x14ac:dyDescent="0.2">
      <c r="A68" s="4"/>
      <c r="B68" s="4"/>
      <c r="C68" s="4"/>
      <c r="D68" s="4"/>
      <c r="E68" s="4"/>
      <c r="F68" s="4"/>
      <c r="G68" s="4"/>
      <c r="H68" s="4"/>
    </row>
    <row r="69" spans="1:8" ht="15.75" customHeight="1" x14ac:dyDescent="0.2">
      <c r="A69" s="4"/>
      <c r="B69" s="4"/>
      <c r="C69" s="4"/>
      <c r="D69" s="4"/>
      <c r="E69" s="4"/>
      <c r="F69" s="4"/>
      <c r="G69" s="4"/>
      <c r="H69" s="4"/>
    </row>
    <row r="70" spans="1:8" ht="15.75" customHeight="1" x14ac:dyDescent="0.2">
      <c r="A70" s="4"/>
      <c r="B70" s="4"/>
      <c r="C70" s="4"/>
      <c r="D70" s="4"/>
      <c r="E70" s="4"/>
      <c r="F70" s="4"/>
      <c r="G70" s="4"/>
      <c r="H70" s="4"/>
    </row>
    <row r="71" spans="1:8" ht="15.75" customHeight="1" x14ac:dyDescent="0.2">
      <c r="A71" s="4"/>
      <c r="B71" s="4"/>
      <c r="C71" s="4"/>
      <c r="D71" s="4"/>
      <c r="E71" s="4"/>
      <c r="F71" s="4"/>
      <c r="G71" s="4"/>
      <c r="H71" s="4"/>
    </row>
    <row r="72" spans="1:8" ht="15.75" customHeight="1" x14ac:dyDescent="0.2">
      <c r="A72" s="4"/>
      <c r="B72" s="4"/>
      <c r="C72" s="4"/>
      <c r="D72" s="4"/>
      <c r="E72" s="4"/>
      <c r="F72" s="4"/>
      <c r="G72" s="4"/>
      <c r="H72" s="4"/>
    </row>
    <row r="73" spans="1:8" ht="15.75" customHeight="1" x14ac:dyDescent="0.2">
      <c r="A73" s="4"/>
      <c r="B73" s="4"/>
      <c r="C73" s="4"/>
      <c r="D73" s="4"/>
      <c r="E73" s="4"/>
      <c r="F73" s="4"/>
      <c r="G73" s="4"/>
      <c r="H73" s="4"/>
    </row>
    <row r="74" spans="1:8" ht="15.75" customHeight="1" x14ac:dyDescent="0.2">
      <c r="A74" s="4"/>
      <c r="B74" s="4"/>
      <c r="C74" s="4"/>
      <c r="D74" s="4"/>
      <c r="E74" s="4"/>
      <c r="F74" s="4"/>
      <c r="G74" s="4"/>
      <c r="H74" s="4"/>
    </row>
    <row r="75" spans="1:8" ht="15.75" customHeight="1" x14ac:dyDescent="0.2">
      <c r="A75" s="4"/>
      <c r="B75" s="4"/>
      <c r="C75" s="4"/>
      <c r="D75" s="4"/>
      <c r="E75" s="4"/>
      <c r="F75" s="4"/>
      <c r="G75" s="4"/>
      <c r="H75" s="4"/>
    </row>
    <row r="76" spans="1:8" ht="15.75" customHeight="1" x14ac:dyDescent="0.2">
      <c r="A76" s="4"/>
      <c r="B76" s="4"/>
      <c r="C76" s="4"/>
      <c r="D76" s="4"/>
      <c r="E76" s="4"/>
      <c r="F76" s="4"/>
      <c r="G76" s="4"/>
      <c r="H76" s="4"/>
    </row>
    <row r="77" spans="1:8" ht="15.75" customHeight="1" x14ac:dyDescent="0.2">
      <c r="A77" s="4"/>
      <c r="B77" s="4"/>
      <c r="C77" s="4"/>
      <c r="D77" s="4"/>
      <c r="E77" s="4"/>
      <c r="F77" s="4"/>
      <c r="G77" s="4"/>
      <c r="H77" s="4"/>
    </row>
    <row r="78" spans="1:8" ht="15.75" customHeight="1" x14ac:dyDescent="0.2">
      <c r="A78" s="4"/>
      <c r="B78" s="4"/>
      <c r="C78" s="4"/>
      <c r="D78" s="4"/>
      <c r="E78" s="4"/>
      <c r="F78" s="4"/>
      <c r="G78" s="4"/>
      <c r="H78" s="4"/>
    </row>
    <row r="79" spans="1:8" ht="15.75" customHeight="1" x14ac:dyDescent="0.2">
      <c r="A79" s="4"/>
      <c r="B79" s="4"/>
      <c r="C79" s="4"/>
      <c r="D79" s="4"/>
      <c r="E79" s="4"/>
      <c r="F79" s="4"/>
      <c r="G79" s="4"/>
      <c r="H79" s="4"/>
    </row>
    <row r="80" spans="1:8" ht="15.75" customHeight="1" x14ac:dyDescent="0.2">
      <c r="A80" s="4"/>
      <c r="B80" s="4"/>
      <c r="C80" s="4"/>
      <c r="D80" s="4"/>
      <c r="E80" s="4"/>
      <c r="F80" s="4"/>
      <c r="G80" s="4"/>
      <c r="H80" s="4"/>
    </row>
    <row r="81" spans="1:8" ht="15.75" customHeight="1" x14ac:dyDescent="0.2">
      <c r="A81" s="4"/>
      <c r="B81" s="4"/>
      <c r="C81" s="4"/>
      <c r="D81" s="4"/>
      <c r="E81" s="4"/>
      <c r="F81" s="4"/>
      <c r="G81" s="4"/>
      <c r="H81" s="4"/>
    </row>
    <row r="82" spans="1:8" ht="15.75" customHeight="1" x14ac:dyDescent="0.2">
      <c r="A82" s="4"/>
      <c r="B82" s="4"/>
      <c r="C82" s="4"/>
      <c r="D82" s="4"/>
      <c r="E82" s="4"/>
      <c r="F82" s="4"/>
      <c r="G82" s="4"/>
      <c r="H82" s="4"/>
    </row>
    <row r="83" spans="1:8" ht="15.75" customHeight="1" x14ac:dyDescent="0.2">
      <c r="A83" s="4"/>
      <c r="B83" s="4"/>
      <c r="C83" s="4"/>
      <c r="D83" s="4"/>
      <c r="E83" s="4"/>
      <c r="F83" s="4"/>
      <c r="G83" s="4"/>
      <c r="H83" s="4"/>
    </row>
    <row r="84" spans="1:8" ht="15.75" customHeight="1" x14ac:dyDescent="0.2">
      <c r="A84" s="4"/>
      <c r="B84" s="4"/>
      <c r="C84" s="4"/>
      <c r="D84" s="4"/>
      <c r="E84" s="4"/>
      <c r="F84" s="4"/>
      <c r="G84" s="4"/>
      <c r="H84" s="4"/>
    </row>
    <row r="85" spans="1:8" ht="15.75" customHeight="1" x14ac:dyDescent="0.2">
      <c r="A85" s="4"/>
      <c r="B85" s="4"/>
      <c r="C85" s="4"/>
      <c r="D85" s="4"/>
      <c r="E85" s="4"/>
      <c r="F85" s="4"/>
      <c r="G85" s="4"/>
      <c r="H85" s="4"/>
    </row>
    <row r="86" spans="1:8" ht="15.75" customHeight="1" x14ac:dyDescent="0.2">
      <c r="A86" s="4"/>
      <c r="B86" s="4"/>
      <c r="C86" s="4"/>
      <c r="D86" s="4"/>
      <c r="E86" s="4"/>
      <c r="F86" s="4"/>
      <c r="G86" s="4"/>
      <c r="H86" s="4"/>
    </row>
    <row r="87" spans="1:8" ht="15.75" customHeight="1" x14ac:dyDescent="0.2">
      <c r="A87" s="4"/>
      <c r="B87" s="4"/>
      <c r="C87" s="4"/>
      <c r="D87" s="4"/>
      <c r="E87" s="4"/>
      <c r="F87" s="4"/>
      <c r="G87" s="4"/>
      <c r="H87" s="4"/>
    </row>
    <row r="88" spans="1:8" ht="15.75" customHeight="1" x14ac:dyDescent="0.2">
      <c r="A88" s="4"/>
      <c r="B88" s="4"/>
      <c r="C88" s="4"/>
      <c r="D88" s="4"/>
      <c r="E88" s="4"/>
      <c r="F88" s="4"/>
      <c r="G88" s="4"/>
      <c r="H88" s="4"/>
    </row>
    <row r="89" spans="1:8" ht="15.75" customHeight="1" x14ac:dyDescent="0.2">
      <c r="A89" s="4"/>
      <c r="B89" s="4"/>
      <c r="C89" s="4"/>
      <c r="D89" s="4"/>
      <c r="E89" s="4"/>
      <c r="F89" s="4"/>
      <c r="G89" s="4"/>
      <c r="H89" s="4"/>
    </row>
    <row r="90" spans="1:8" ht="15.75" customHeight="1" x14ac:dyDescent="0.2">
      <c r="A90" s="4"/>
      <c r="B90" s="4"/>
      <c r="C90" s="4"/>
      <c r="D90" s="4"/>
      <c r="E90" s="4"/>
      <c r="F90" s="4"/>
      <c r="G90" s="4"/>
      <c r="H90" s="4"/>
    </row>
    <row r="91" spans="1:8" ht="15.75" customHeight="1" x14ac:dyDescent="0.2">
      <c r="A91" s="4"/>
      <c r="B91" s="4"/>
      <c r="C91" s="4"/>
      <c r="D91" s="4"/>
      <c r="E91" s="4"/>
      <c r="F91" s="4"/>
      <c r="G91" s="4"/>
      <c r="H91" s="4"/>
    </row>
    <row r="92" spans="1:8" ht="15.75" customHeight="1" x14ac:dyDescent="0.2">
      <c r="A92" s="4"/>
      <c r="B92" s="4"/>
      <c r="C92" s="4"/>
      <c r="D92" s="4"/>
      <c r="E92" s="4"/>
      <c r="F92" s="4"/>
      <c r="G92" s="4"/>
      <c r="H92" s="4"/>
    </row>
    <row r="93" spans="1:8" ht="15.75" customHeight="1" x14ac:dyDescent="0.2">
      <c r="A93" s="4"/>
      <c r="B93" s="4"/>
      <c r="C93" s="4"/>
      <c r="D93" s="4"/>
      <c r="E93" s="4"/>
      <c r="F93" s="4"/>
      <c r="G93" s="4"/>
      <c r="H93" s="4"/>
    </row>
    <row r="94" spans="1:8" ht="15.75" customHeight="1" x14ac:dyDescent="0.2">
      <c r="A94" s="4"/>
      <c r="B94" s="4"/>
      <c r="C94" s="4"/>
      <c r="D94" s="4"/>
      <c r="E94" s="4"/>
      <c r="F94" s="4"/>
      <c r="G94" s="4"/>
      <c r="H94" s="4"/>
    </row>
    <row r="95" spans="1:8" ht="15.75" customHeight="1" x14ac:dyDescent="0.2">
      <c r="A95" s="4"/>
      <c r="B95" s="4"/>
      <c r="C95" s="4"/>
      <c r="D95" s="4"/>
      <c r="E95" s="4"/>
      <c r="F95" s="4"/>
      <c r="G95" s="4"/>
      <c r="H95" s="4"/>
    </row>
    <row r="96" spans="1:8" ht="15.75" customHeight="1" x14ac:dyDescent="0.2">
      <c r="A96" s="4"/>
      <c r="B96" s="4"/>
      <c r="C96" s="4"/>
      <c r="D96" s="4"/>
      <c r="E96" s="4"/>
      <c r="F96" s="4"/>
      <c r="G96" s="4"/>
      <c r="H96" s="4"/>
    </row>
    <row r="97" spans="1:8" ht="15.75" customHeight="1" x14ac:dyDescent="0.2">
      <c r="A97" s="4"/>
      <c r="B97" s="4"/>
      <c r="C97" s="4"/>
      <c r="D97" s="4"/>
      <c r="E97" s="4"/>
      <c r="F97" s="4"/>
      <c r="G97" s="4"/>
      <c r="H97" s="4"/>
    </row>
    <row r="98" spans="1:8" ht="15.75" customHeight="1" x14ac:dyDescent="0.2">
      <c r="A98" s="4"/>
      <c r="B98" s="4"/>
      <c r="C98" s="4"/>
      <c r="D98" s="4"/>
      <c r="E98" s="4"/>
      <c r="F98" s="4"/>
      <c r="G98" s="4"/>
      <c r="H98" s="4"/>
    </row>
    <row r="99" spans="1:8" ht="15.75" customHeight="1" x14ac:dyDescent="0.2">
      <c r="A99" s="4"/>
      <c r="B99" s="4"/>
      <c r="C99" s="4"/>
      <c r="D99" s="4"/>
      <c r="E99" s="4"/>
      <c r="F99" s="4"/>
      <c r="G99" s="4"/>
      <c r="H99" s="4"/>
    </row>
    <row r="100" spans="1:8" ht="15.75" customHeight="1" x14ac:dyDescent="0.2">
      <c r="A100" s="4"/>
      <c r="B100" s="4"/>
      <c r="C100" s="4"/>
      <c r="D100" s="4"/>
      <c r="E100" s="4"/>
      <c r="F100" s="4"/>
      <c r="G100" s="4"/>
      <c r="H100" s="4"/>
    </row>
    <row r="101" spans="1:8" ht="15.75" customHeight="1" x14ac:dyDescent="0.2">
      <c r="A101" s="4"/>
      <c r="B101" s="4"/>
      <c r="C101" s="4"/>
      <c r="D101" s="4"/>
      <c r="E101" s="4"/>
      <c r="F101" s="4"/>
      <c r="G101" s="4"/>
      <c r="H101" s="4"/>
    </row>
    <row r="102" spans="1:8" ht="15.75" customHeight="1" x14ac:dyDescent="0.2">
      <c r="A102" s="4"/>
      <c r="B102" s="4"/>
      <c r="C102" s="4"/>
      <c r="D102" s="4"/>
      <c r="E102" s="4"/>
      <c r="F102" s="4"/>
      <c r="G102" s="4"/>
      <c r="H102" s="4"/>
    </row>
    <row r="103" spans="1:8" ht="15.75" customHeight="1" x14ac:dyDescent="0.2">
      <c r="A103" s="4"/>
      <c r="B103" s="4"/>
      <c r="C103" s="4"/>
      <c r="D103" s="4"/>
      <c r="E103" s="4"/>
      <c r="F103" s="4"/>
      <c r="G103" s="4"/>
      <c r="H103" s="4"/>
    </row>
    <row r="104" spans="1:8" ht="15.75" customHeight="1" x14ac:dyDescent="0.2">
      <c r="A104" s="4"/>
      <c r="B104" s="4"/>
      <c r="C104" s="4"/>
      <c r="D104" s="4"/>
      <c r="E104" s="4"/>
      <c r="F104" s="4"/>
      <c r="G104" s="4"/>
      <c r="H104" s="4"/>
    </row>
    <row r="105" spans="1:8" ht="15.75" customHeight="1" x14ac:dyDescent="0.2">
      <c r="A105" s="4"/>
      <c r="B105" s="4"/>
      <c r="C105" s="4"/>
      <c r="D105" s="4"/>
      <c r="E105" s="4"/>
      <c r="F105" s="4"/>
      <c r="G105" s="4"/>
      <c r="H105" s="4"/>
    </row>
    <row r="106" spans="1:8" ht="15.75" customHeight="1" x14ac:dyDescent="0.2">
      <c r="A106" s="4"/>
      <c r="B106" s="4"/>
      <c r="C106" s="4"/>
      <c r="D106" s="4"/>
      <c r="E106" s="4"/>
      <c r="F106" s="4"/>
      <c r="G106" s="4"/>
      <c r="H106" s="4"/>
    </row>
    <row r="107" spans="1:8" ht="15.75" customHeight="1" x14ac:dyDescent="0.2">
      <c r="A107" s="4"/>
      <c r="B107" s="4"/>
      <c r="C107" s="4"/>
      <c r="D107" s="4"/>
      <c r="E107" s="4"/>
      <c r="F107" s="4"/>
      <c r="G107" s="4"/>
      <c r="H107" s="4"/>
    </row>
    <row r="108" spans="1:8" ht="15.75" customHeight="1" x14ac:dyDescent="0.2">
      <c r="A108" s="4"/>
      <c r="B108" s="4"/>
      <c r="C108" s="4"/>
      <c r="D108" s="4"/>
      <c r="E108" s="4"/>
      <c r="F108" s="4"/>
      <c r="G108" s="4"/>
      <c r="H108" s="4"/>
    </row>
    <row r="109" spans="1:8" ht="15.75" customHeight="1" x14ac:dyDescent="0.2">
      <c r="A109" s="4"/>
      <c r="B109" s="4"/>
      <c r="C109" s="4"/>
      <c r="D109" s="4"/>
      <c r="E109" s="4"/>
      <c r="F109" s="4"/>
      <c r="G109" s="4"/>
      <c r="H109" s="4"/>
    </row>
    <row r="110" spans="1:8" ht="15.75" customHeight="1" x14ac:dyDescent="0.2">
      <c r="A110" s="4"/>
      <c r="B110" s="4"/>
      <c r="C110" s="4"/>
      <c r="D110" s="4"/>
      <c r="E110" s="4"/>
      <c r="F110" s="4"/>
      <c r="G110" s="4"/>
      <c r="H110" s="4"/>
    </row>
    <row r="111" spans="1:8" ht="15.75" customHeight="1" x14ac:dyDescent="0.2">
      <c r="A111" s="4"/>
      <c r="B111" s="4"/>
      <c r="C111" s="4"/>
      <c r="D111" s="4"/>
      <c r="E111" s="4"/>
      <c r="F111" s="4"/>
      <c r="G111" s="4"/>
      <c r="H111" s="4"/>
    </row>
    <row r="112" spans="1:8" ht="15.75" customHeight="1" x14ac:dyDescent="0.2">
      <c r="A112" s="4"/>
      <c r="B112" s="4"/>
      <c r="C112" s="4"/>
      <c r="D112" s="4"/>
      <c r="E112" s="4"/>
      <c r="F112" s="4"/>
      <c r="G112" s="4"/>
      <c r="H112" s="4"/>
    </row>
    <row r="113" spans="1:8" ht="15.75" customHeight="1" x14ac:dyDescent="0.2">
      <c r="A113" s="4"/>
      <c r="B113" s="4"/>
      <c r="C113" s="4"/>
      <c r="D113" s="4"/>
      <c r="E113" s="4"/>
      <c r="F113" s="4"/>
      <c r="G113" s="4"/>
      <c r="H113" s="4"/>
    </row>
    <row r="114" spans="1:8" ht="15.75" customHeight="1" x14ac:dyDescent="0.2">
      <c r="A114" s="4"/>
      <c r="B114" s="4"/>
      <c r="C114" s="4"/>
      <c r="D114" s="4"/>
      <c r="E114" s="4"/>
      <c r="F114" s="4"/>
      <c r="G114" s="4"/>
      <c r="H114" s="4"/>
    </row>
    <row r="115" spans="1:8" ht="15.75" customHeight="1" x14ac:dyDescent="0.2">
      <c r="A115" s="4"/>
      <c r="B115" s="4"/>
      <c r="C115" s="4"/>
      <c r="D115" s="4"/>
      <c r="E115" s="4"/>
      <c r="F115" s="4"/>
      <c r="G115" s="4"/>
      <c r="H115" s="4"/>
    </row>
    <row r="116" spans="1:8" ht="15.75" customHeight="1" x14ac:dyDescent="0.2">
      <c r="A116" s="4"/>
      <c r="B116" s="4"/>
      <c r="C116" s="4"/>
      <c r="D116" s="4"/>
      <c r="E116" s="4"/>
      <c r="F116" s="4"/>
      <c r="G116" s="4"/>
      <c r="H116" s="4"/>
    </row>
    <row r="117" spans="1:8" ht="15.75" customHeight="1" x14ac:dyDescent="0.2">
      <c r="A117" s="4"/>
      <c r="B117" s="4"/>
      <c r="C117" s="4"/>
      <c r="D117" s="4"/>
      <c r="E117" s="4"/>
      <c r="F117" s="4"/>
      <c r="G117" s="4"/>
      <c r="H117" s="4"/>
    </row>
    <row r="118" spans="1:8" ht="15.75" customHeight="1" x14ac:dyDescent="0.2">
      <c r="A118" s="4"/>
      <c r="B118" s="4"/>
      <c r="C118" s="4"/>
      <c r="D118" s="4"/>
      <c r="E118" s="4"/>
      <c r="F118" s="4"/>
      <c r="G118" s="4"/>
      <c r="H118" s="4"/>
    </row>
    <row r="119" spans="1:8" ht="15.75" customHeight="1" x14ac:dyDescent="0.2">
      <c r="A119" s="4"/>
      <c r="B119" s="4"/>
      <c r="C119" s="4"/>
      <c r="D119" s="4"/>
      <c r="E119" s="4"/>
      <c r="F119" s="4"/>
      <c r="G119" s="4"/>
      <c r="H119" s="4"/>
    </row>
    <row r="120" spans="1:8" ht="15.75" customHeight="1" x14ac:dyDescent="0.2">
      <c r="A120" s="4"/>
      <c r="B120" s="4"/>
      <c r="C120" s="4"/>
      <c r="D120" s="4"/>
      <c r="E120" s="4"/>
      <c r="F120" s="4"/>
      <c r="G120" s="4"/>
      <c r="H120" s="4"/>
    </row>
    <row r="121" spans="1:8" ht="15.75" customHeight="1" x14ac:dyDescent="0.2">
      <c r="A121" s="4"/>
      <c r="B121" s="4"/>
      <c r="C121" s="4"/>
      <c r="D121" s="4"/>
      <c r="E121" s="4"/>
      <c r="F121" s="4"/>
      <c r="G121" s="4"/>
      <c r="H121" s="4"/>
    </row>
    <row r="122" spans="1:8" ht="15.75" customHeight="1" x14ac:dyDescent="0.2">
      <c r="A122" s="4"/>
      <c r="B122" s="4"/>
      <c r="C122" s="4"/>
      <c r="D122" s="4"/>
      <c r="E122" s="4"/>
      <c r="F122" s="4"/>
      <c r="G122" s="4"/>
      <c r="H122" s="4"/>
    </row>
    <row r="123" spans="1:8" ht="15.75" customHeight="1" x14ac:dyDescent="0.2">
      <c r="A123" s="4"/>
      <c r="B123" s="4"/>
      <c r="C123" s="4"/>
      <c r="D123" s="4"/>
      <c r="E123" s="4"/>
      <c r="F123" s="4"/>
      <c r="G123" s="4"/>
      <c r="H123" s="4"/>
    </row>
    <row r="124" spans="1:8" ht="15.75" customHeight="1" x14ac:dyDescent="0.2">
      <c r="A124" s="4"/>
      <c r="B124" s="4"/>
      <c r="C124" s="4"/>
      <c r="D124" s="4"/>
      <c r="E124" s="4"/>
      <c r="F124" s="4"/>
      <c r="G124" s="4"/>
      <c r="H124" s="4"/>
    </row>
    <row r="125" spans="1:8" ht="15.75" customHeight="1" x14ac:dyDescent="0.2">
      <c r="A125" s="4"/>
      <c r="B125" s="4"/>
      <c r="C125" s="4"/>
      <c r="D125" s="4"/>
      <c r="E125" s="4"/>
      <c r="F125" s="4"/>
      <c r="G125" s="4"/>
      <c r="H125" s="4"/>
    </row>
    <row r="126" spans="1:8" ht="15.75" customHeight="1" x14ac:dyDescent="0.2">
      <c r="A126" s="4"/>
      <c r="B126" s="4"/>
      <c r="C126" s="4"/>
      <c r="D126" s="4"/>
      <c r="E126" s="4"/>
      <c r="F126" s="4"/>
      <c r="G126" s="4"/>
      <c r="H126" s="4"/>
    </row>
    <row r="127" spans="1:8" ht="15.75" customHeight="1" x14ac:dyDescent="0.2">
      <c r="A127" s="4"/>
      <c r="B127" s="4"/>
      <c r="C127" s="4"/>
      <c r="D127" s="4"/>
      <c r="E127" s="4"/>
      <c r="F127" s="4"/>
      <c r="G127" s="4"/>
      <c r="H127" s="4"/>
    </row>
    <row r="128" spans="1:8" ht="15.75" customHeight="1" x14ac:dyDescent="0.2">
      <c r="A128" s="4"/>
      <c r="B128" s="4"/>
      <c r="C128" s="4"/>
      <c r="D128" s="4"/>
      <c r="E128" s="4"/>
      <c r="F128" s="4"/>
      <c r="G128" s="4"/>
      <c r="H128" s="4"/>
    </row>
    <row r="129" spans="1:8" ht="15.75" customHeight="1" x14ac:dyDescent="0.2">
      <c r="A129" s="4"/>
      <c r="B129" s="4"/>
      <c r="C129" s="4"/>
      <c r="D129" s="4"/>
      <c r="E129" s="4"/>
      <c r="F129" s="4"/>
      <c r="G129" s="4"/>
      <c r="H129" s="4"/>
    </row>
    <row r="130" spans="1:8" ht="15.75" customHeight="1" x14ac:dyDescent="0.2">
      <c r="A130" s="4"/>
      <c r="B130" s="4"/>
      <c r="C130" s="4"/>
      <c r="D130" s="4"/>
      <c r="E130" s="4"/>
      <c r="F130" s="4"/>
      <c r="G130" s="4"/>
      <c r="H130" s="4"/>
    </row>
    <row r="131" spans="1:8" ht="15.75" customHeight="1" x14ac:dyDescent="0.2">
      <c r="A131" s="4"/>
      <c r="B131" s="4"/>
      <c r="C131" s="4"/>
      <c r="D131" s="4"/>
      <c r="E131" s="4"/>
      <c r="F131" s="4"/>
      <c r="G131" s="4"/>
      <c r="H131" s="4"/>
    </row>
    <row r="132" spans="1:8" ht="15.75" customHeight="1" x14ac:dyDescent="0.2">
      <c r="A132" s="4"/>
      <c r="B132" s="4"/>
      <c r="C132" s="4"/>
      <c r="D132" s="4"/>
      <c r="E132" s="4"/>
      <c r="F132" s="4"/>
      <c r="G132" s="4"/>
      <c r="H132" s="4"/>
    </row>
    <row r="133" spans="1:8" ht="15.75" customHeight="1" x14ac:dyDescent="0.2">
      <c r="A133" s="4"/>
      <c r="B133" s="4"/>
      <c r="C133" s="4"/>
      <c r="D133" s="4"/>
      <c r="E133" s="4"/>
      <c r="F133" s="4"/>
      <c r="G133" s="4"/>
      <c r="H133" s="4"/>
    </row>
    <row r="134" spans="1:8" ht="15.75" customHeight="1" x14ac:dyDescent="0.2">
      <c r="A134" s="4"/>
      <c r="B134" s="4"/>
      <c r="C134" s="4"/>
      <c r="D134" s="4"/>
      <c r="E134" s="4"/>
      <c r="F134" s="4"/>
      <c r="G134" s="4"/>
      <c r="H134" s="4"/>
    </row>
    <row r="135" spans="1:8" ht="15.75" customHeight="1" x14ac:dyDescent="0.2">
      <c r="A135" s="4"/>
      <c r="B135" s="4"/>
      <c r="C135" s="4"/>
      <c r="D135" s="4"/>
      <c r="E135" s="4"/>
      <c r="F135" s="4"/>
      <c r="G135" s="4"/>
      <c r="H135" s="4"/>
    </row>
    <row r="136" spans="1:8" ht="15.75" customHeight="1" x14ac:dyDescent="0.2">
      <c r="A136" s="4"/>
      <c r="B136" s="4"/>
      <c r="C136" s="4"/>
      <c r="D136" s="4"/>
      <c r="E136" s="4"/>
      <c r="F136" s="4"/>
      <c r="G136" s="4"/>
      <c r="H136" s="4"/>
    </row>
    <row r="137" spans="1:8" ht="15.75" customHeight="1" x14ac:dyDescent="0.2">
      <c r="A137" s="4"/>
      <c r="B137" s="4"/>
      <c r="C137" s="4"/>
      <c r="D137" s="4"/>
      <c r="E137" s="4"/>
      <c r="F137" s="4"/>
      <c r="G137" s="4"/>
      <c r="H137" s="4"/>
    </row>
    <row r="138" spans="1:8" ht="15.75" customHeight="1" x14ac:dyDescent="0.2">
      <c r="A138" s="4"/>
      <c r="B138" s="4"/>
      <c r="C138" s="4"/>
      <c r="D138" s="4"/>
      <c r="E138" s="4"/>
      <c r="F138" s="4"/>
      <c r="G138" s="4"/>
      <c r="H138" s="4"/>
    </row>
    <row r="139" spans="1:8" ht="15.75" customHeight="1" x14ac:dyDescent="0.2">
      <c r="A139" s="4"/>
      <c r="B139" s="4"/>
      <c r="C139" s="4"/>
      <c r="D139" s="4"/>
      <c r="E139" s="4"/>
      <c r="F139" s="4"/>
      <c r="G139" s="4"/>
      <c r="H139" s="4"/>
    </row>
    <row r="140" spans="1:8" ht="15.75" customHeight="1" x14ac:dyDescent="0.2">
      <c r="A140" s="4"/>
      <c r="B140" s="4"/>
      <c r="C140" s="4"/>
      <c r="D140" s="4"/>
      <c r="E140" s="4"/>
      <c r="F140" s="4"/>
      <c r="G140" s="4"/>
      <c r="H140" s="4"/>
    </row>
    <row r="141" spans="1:8" ht="15.75" customHeight="1" x14ac:dyDescent="0.2">
      <c r="A141" s="4"/>
      <c r="B141" s="4"/>
      <c r="C141" s="4"/>
      <c r="D141" s="4"/>
      <c r="E141" s="4"/>
      <c r="F141" s="4"/>
      <c r="G141" s="4"/>
      <c r="H141" s="4"/>
    </row>
    <row r="142" spans="1:8" ht="15.75" customHeight="1" x14ac:dyDescent="0.2">
      <c r="A142" s="4"/>
      <c r="B142" s="4"/>
      <c r="C142" s="4"/>
      <c r="D142" s="4"/>
      <c r="E142" s="4"/>
      <c r="F142" s="4"/>
      <c r="G142" s="4"/>
      <c r="H142" s="4"/>
    </row>
    <row r="143" spans="1:8" ht="15.75" customHeight="1" x14ac:dyDescent="0.2">
      <c r="A143" s="4"/>
      <c r="B143" s="4"/>
      <c r="C143" s="4"/>
      <c r="D143" s="4"/>
      <c r="E143" s="4"/>
      <c r="F143" s="4"/>
      <c r="G143" s="4"/>
      <c r="H143" s="4"/>
    </row>
    <row r="144" spans="1:8" ht="15.75" customHeight="1" x14ac:dyDescent="0.2">
      <c r="A144" s="4"/>
      <c r="B144" s="4"/>
      <c r="C144" s="4"/>
      <c r="D144" s="4"/>
      <c r="E144" s="4"/>
      <c r="F144" s="4"/>
      <c r="G144" s="4"/>
      <c r="H144" s="4"/>
    </row>
    <row r="145" spans="1:8" ht="15.75" customHeight="1" x14ac:dyDescent="0.2">
      <c r="A145" s="4"/>
      <c r="B145" s="4"/>
      <c r="C145" s="4"/>
      <c r="D145" s="4"/>
      <c r="E145" s="4"/>
      <c r="F145" s="4"/>
      <c r="G145" s="4"/>
      <c r="H145" s="4"/>
    </row>
    <row r="146" spans="1:8" ht="15.75" customHeight="1" x14ac:dyDescent="0.2">
      <c r="A146" s="4"/>
      <c r="B146" s="4"/>
      <c r="C146" s="4"/>
      <c r="D146" s="4"/>
      <c r="E146" s="4"/>
      <c r="F146" s="4"/>
      <c r="G146" s="4"/>
      <c r="H146" s="4"/>
    </row>
    <row r="147" spans="1:8" ht="15.75" customHeight="1" x14ac:dyDescent="0.2">
      <c r="A147" s="4"/>
      <c r="B147" s="4"/>
      <c r="C147" s="4"/>
      <c r="D147" s="4"/>
      <c r="E147" s="4"/>
      <c r="F147" s="4"/>
      <c r="G147" s="4"/>
      <c r="H147" s="4"/>
    </row>
    <row r="148" spans="1:8" ht="15.75" customHeight="1" x14ac:dyDescent="0.2">
      <c r="A148" s="4"/>
      <c r="B148" s="4"/>
      <c r="C148" s="4"/>
      <c r="D148" s="4"/>
      <c r="E148" s="4"/>
      <c r="F148" s="4"/>
      <c r="G148" s="4"/>
      <c r="H148" s="4"/>
    </row>
    <row r="149" spans="1:8" ht="15.75" customHeight="1" x14ac:dyDescent="0.2">
      <c r="A149" s="4"/>
      <c r="B149" s="4"/>
      <c r="C149" s="4"/>
      <c r="D149" s="4"/>
      <c r="E149" s="4"/>
      <c r="F149" s="4"/>
      <c r="G149" s="4"/>
      <c r="H149" s="4"/>
    </row>
    <row r="150" spans="1:8" ht="15.75" customHeight="1" x14ac:dyDescent="0.2">
      <c r="A150" s="4"/>
      <c r="B150" s="4"/>
      <c r="C150" s="4"/>
      <c r="D150" s="4"/>
      <c r="E150" s="4"/>
      <c r="F150" s="4"/>
      <c r="G150" s="4"/>
      <c r="H150" s="4"/>
    </row>
    <row r="151" spans="1:8" ht="15.75" customHeight="1" x14ac:dyDescent="0.2">
      <c r="A151" s="4"/>
      <c r="B151" s="4"/>
      <c r="C151" s="4"/>
      <c r="D151" s="4"/>
      <c r="E151" s="4"/>
      <c r="F151" s="4"/>
      <c r="G151" s="4"/>
      <c r="H151" s="4"/>
    </row>
    <row r="152" spans="1:8" ht="15.75" customHeight="1" x14ac:dyDescent="0.2">
      <c r="A152" s="4"/>
      <c r="B152" s="4"/>
      <c r="C152" s="4"/>
      <c r="D152" s="4"/>
      <c r="E152" s="4"/>
      <c r="F152" s="4"/>
      <c r="G152" s="4"/>
      <c r="H152" s="4"/>
    </row>
    <row r="153" spans="1:8" ht="15.75" customHeight="1" x14ac:dyDescent="0.2">
      <c r="A153" s="4"/>
      <c r="B153" s="4"/>
      <c r="C153" s="4"/>
      <c r="D153" s="4"/>
      <c r="E153" s="4"/>
      <c r="F153" s="4"/>
      <c r="G153" s="4"/>
      <c r="H153" s="4"/>
    </row>
    <row r="154" spans="1:8" ht="15.75" customHeight="1" x14ac:dyDescent="0.2">
      <c r="A154" s="4"/>
      <c r="B154" s="4"/>
      <c r="C154" s="4"/>
      <c r="D154" s="4"/>
      <c r="E154" s="4"/>
      <c r="F154" s="4"/>
      <c r="G154" s="4"/>
      <c r="H154" s="4"/>
    </row>
    <row r="155" spans="1:8" ht="15.75" customHeight="1" x14ac:dyDescent="0.2">
      <c r="A155" s="4"/>
      <c r="B155" s="4"/>
      <c r="C155" s="4"/>
      <c r="D155" s="4"/>
      <c r="E155" s="4"/>
      <c r="F155" s="4"/>
      <c r="G155" s="4"/>
      <c r="H155" s="4"/>
    </row>
    <row r="156" spans="1:8" ht="15.75" customHeight="1" x14ac:dyDescent="0.2">
      <c r="A156" s="4"/>
      <c r="B156" s="4"/>
      <c r="C156" s="4"/>
      <c r="D156" s="4"/>
      <c r="E156" s="4"/>
      <c r="F156" s="4"/>
      <c r="G156" s="4"/>
      <c r="H156" s="4"/>
    </row>
    <row r="157" spans="1:8" ht="15.75" customHeight="1" x14ac:dyDescent="0.2">
      <c r="A157" s="4"/>
      <c r="B157" s="4"/>
      <c r="C157" s="4"/>
      <c r="D157" s="4"/>
      <c r="E157" s="4"/>
      <c r="F157" s="4"/>
      <c r="G157" s="4"/>
      <c r="H157" s="4"/>
    </row>
    <row r="158" spans="1:8" ht="15.75" customHeight="1" x14ac:dyDescent="0.2">
      <c r="A158" s="4"/>
      <c r="B158" s="4"/>
      <c r="C158" s="4"/>
      <c r="D158" s="4"/>
      <c r="E158" s="4"/>
      <c r="F158" s="4"/>
      <c r="G158" s="4"/>
      <c r="H158" s="4"/>
    </row>
    <row r="159" spans="1:8" ht="15.75" customHeight="1" x14ac:dyDescent="0.2">
      <c r="A159" s="4"/>
      <c r="B159" s="4"/>
      <c r="C159" s="4"/>
      <c r="D159" s="4"/>
      <c r="E159" s="4"/>
      <c r="F159" s="4"/>
      <c r="G159" s="4"/>
      <c r="H159" s="4"/>
    </row>
    <row r="160" spans="1:8" ht="15.75" customHeight="1" x14ac:dyDescent="0.2">
      <c r="A160" s="4"/>
      <c r="B160" s="4"/>
      <c r="C160" s="4"/>
      <c r="D160" s="4"/>
      <c r="E160" s="4"/>
      <c r="F160" s="4"/>
      <c r="G160" s="4"/>
      <c r="H160" s="4"/>
    </row>
    <row r="161" spans="1:8" ht="15.75" customHeight="1" x14ac:dyDescent="0.2">
      <c r="A161" s="4"/>
      <c r="B161" s="4"/>
      <c r="C161" s="4"/>
      <c r="D161" s="4"/>
      <c r="E161" s="4"/>
      <c r="F161" s="4"/>
      <c r="G161" s="4"/>
      <c r="H161" s="4"/>
    </row>
    <row r="162" spans="1:8" ht="15.75" customHeight="1" x14ac:dyDescent="0.2">
      <c r="A162" s="4"/>
      <c r="B162" s="4"/>
      <c r="C162" s="4"/>
      <c r="D162" s="4"/>
      <c r="E162" s="4"/>
      <c r="F162" s="4"/>
      <c r="G162" s="4"/>
      <c r="H162" s="4"/>
    </row>
    <row r="163" spans="1:8" ht="15.75" customHeight="1" x14ac:dyDescent="0.2">
      <c r="A163" s="4"/>
      <c r="B163" s="4"/>
      <c r="C163" s="4"/>
      <c r="D163" s="4"/>
      <c r="E163" s="4"/>
      <c r="F163" s="4"/>
      <c r="G163" s="4"/>
      <c r="H163" s="4"/>
    </row>
    <row r="164" spans="1:8" ht="15.75" customHeight="1" x14ac:dyDescent="0.2">
      <c r="A164" s="4"/>
      <c r="B164" s="4"/>
      <c r="C164" s="4"/>
      <c r="D164" s="4"/>
      <c r="E164" s="4"/>
      <c r="F164" s="4"/>
      <c r="G164" s="4"/>
      <c r="H164" s="4"/>
    </row>
    <row r="165" spans="1:8" ht="15.75" customHeight="1" x14ac:dyDescent="0.2">
      <c r="A165" s="4"/>
      <c r="B165" s="4"/>
      <c r="C165" s="4"/>
      <c r="D165" s="4"/>
      <c r="E165" s="4"/>
      <c r="F165" s="4"/>
      <c r="G165" s="4"/>
      <c r="H165" s="4"/>
    </row>
    <row r="166" spans="1:8" ht="15.75" customHeight="1" x14ac:dyDescent="0.2">
      <c r="A166" s="4"/>
      <c r="B166" s="4"/>
      <c r="C166" s="4"/>
      <c r="D166" s="4"/>
      <c r="E166" s="4"/>
      <c r="F166" s="4"/>
      <c r="G166" s="4"/>
      <c r="H166" s="4"/>
    </row>
    <row r="167" spans="1:8" ht="15.75" customHeight="1" x14ac:dyDescent="0.2">
      <c r="A167" s="4"/>
      <c r="B167" s="4"/>
      <c r="C167" s="4"/>
      <c r="D167" s="4"/>
      <c r="E167" s="4"/>
      <c r="F167" s="4"/>
      <c r="G167" s="4"/>
      <c r="H167" s="4"/>
    </row>
    <row r="168" spans="1:8" ht="15.75" customHeight="1" x14ac:dyDescent="0.2">
      <c r="A168" s="4"/>
      <c r="B168" s="4"/>
      <c r="C168" s="4"/>
      <c r="D168" s="4"/>
      <c r="E168" s="4"/>
      <c r="F168" s="4"/>
      <c r="G168" s="4"/>
      <c r="H168" s="4"/>
    </row>
    <row r="169" spans="1:8" ht="15.75" customHeight="1" x14ac:dyDescent="0.2">
      <c r="A169" s="4"/>
      <c r="B169" s="4"/>
      <c r="C169" s="4"/>
      <c r="D169" s="4"/>
      <c r="E169" s="4"/>
      <c r="F169" s="4"/>
      <c r="G169" s="4"/>
      <c r="H169" s="4"/>
    </row>
    <row r="170" spans="1:8" ht="15.75" customHeight="1" x14ac:dyDescent="0.2">
      <c r="A170" s="4"/>
      <c r="B170" s="4"/>
      <c r="C170" s="4"/>
      <c r="D170" s="4"/>
      <c r="E170" s="4"/>
      <c r="F170" s="4"/>
      <c r="G170" s="4"/>
      <c r="H170" s="4"/>
    </row>
    <row r="171" spans="1:8" ht="15.75" customHeight="1" x14ac:dyDescent="0.2">
      <c r="A171" s="4"/>
      <c r="B171" s="4"/>
      <c r="C171" s="4"/>
      <c r="D171" s="4"/>
      <c r="E171" s="4"/>
      <c r="F171" s="4"/>
      <c r="G171" s="4"/>
      <c r="H171" s="4"/>
    </row>
    <row r="172" spans="1:8" ht="15.75" customHeight="1" x14ac:dyDescent="0.2">
      <c r="A172" s="4"/>
      <c r="B172" s="4"/>
      <c r="C172" s="4"/>
      <c r="D172" s="4"/>
      <c r="E172" s="4"/>
      <c r="F172" s="4"/>
      <c r="G172" s="4"/>
      <c r="H172" s="4"/>
    </row>
    <row r="173" spans="1:8" ht="15.75" customHeight="1" x14ac:dyDescent="0.2">
      <c r="A173" s="4"/>
      <c r="B173" s="4"/>
      <c r="C173" s="4"/>
      <c r="D173" s="4"/>
      <c r="E173" s="4"/>
      <c r="F173" s="4"/>
      <c r="G173" s="4"/>
      <c r="H173" s="4"/>
    </row>
    <row r="174" spans="1:8" ht="15.75" customHeight="1" x14ac:dyDescent="0.2">
      <c r="A174" s="4"/>
      <c r="B174" s="4"/>
      <c r="C174" s="4"/>
      <c r="D174" s="4"/>
      <c r="E174" s="4"/>
      <c r="F174" s="4"/>
      <c r="G174" s="4"/>
      <c r="H174" s="4"/>
    </row>
    <row r="175" spans="1:8" ht="15.75" customHeight="1" x14ac:dyDescent="0.2">
      <c r="A175" s="4"/>
      <c r="B175" s="4"/>
      <c r="C175" s="4"/>
      <c r="D175" s="4"/>
      <c r="E175" s="4"/>
      <c r="F175" s="4"/>
      <c r="G175" s="4"/>
      <c r="H175" s="4"/>
    </row>
    <row r="176" spans="1:8" ht="15.75" customHeight="1" x14ac:dyDescent="0.2">
      <c r="A176" s="4"/>
      <c r="B176" s="4"/>
      <c r="C176" s="4"/>
      <c r="D176" s="4"/>
      <c r="E176" s="4"/>
      <c r="F176" s="4"/>
      <c r="G176" s="4"/>
      <c r="H176" s="4"/>
    </row>
    <row r="177" spans="1:8" ht="15.75" customHeight="1" x14ac:dyDescent="0.2">
      <c r="A177" s="4"/>
      <c r="B177" s="4"/>
      <c r="C177" s="4"/>
      <c r="D177" s="4"/>
      <c r="E177" s="4"/>
      <c r="F177" s="4"/>
      <c r="G177" s="4"/>
      <c r="H177" s="4"/>
    </row>
    <row r="178" spans="1:8" ht="15.75" customHeight="1" x14ac:dyDescent="0.2">
      <c r="A178" s="4"/>
      <c r="B178" s="4"/>
      <c r="C178" s="4"/>
      <c r="D178" s="4"/>
      <c r="E178" s="4"/>
      <c r="F178" s="4"/>
      <c r="G178" s="4"/>
      <c r="H178" s="4"/>
    </row>
    <row r="179" spans="1:8" ht="15.75" customHeight="1" x14ac:dyDescent="0.2">
      <c r="A179" s="4"/>
      <c r="B179" s="4"/>
      <c r="C179" s="4"/>
      <c r="D179" s="4"/>
      <c r="E179" s="4"/>
      <c r="F179" s="4"/>
      <c r="G179" s="4"/>
      <c r="H179" s="4"/>
    </row>
    <row r="180" spans="1:8" ht="15.75" customHeight="1" x14ac:dyDescent="0.2">
      <c r="A180" s="4"/>
      <c r="B180" s="4"/>
      <c r="C180" s="4"/>
      <c r="D180" s="4"/>
      <c r="E180" s="4"/>
      <c r="F180" s="4"/>
      <c r="G180" s="4"/>
      <c r="H180" s="4"/>
    </row>
    <row r="181" spans="1:8" ht="15.75" customHeight="1" x14ac:dyDescent="0.2">
      <c r="A181" s="4"/>
      <c r="B181" s="4"/>
      <c r="C181" s="4"/>
      <c r="D181" s="4"/>
      <c r="E181" s="4"/>
      <c r="F181" s="4"/>
      <c r="G181" s="4"/>
      <c r="H181" s="4"/>
    </row>
    <row r="182" spans="1:8" ht="15.75" customHeight="1" x14ac:dyDescent="0.2">
      <c r="A182" s="4"/>
      <c r="B182" s="4"/>
      <c r="C182" s="4"/>
      <c r="D182" s="4"/>
      <c r="E182" s="4"/>
      <c r="F182" s="4"/>
      <c r="G182" s="4"/>
      <c r="H182" s="4"/>
    </row>
    <row r="183" spans="1:8" ht="15.75" customHeight="1" x14ac:dyDescent="0.2">
      <c r="A183" s="4"/>
      <c r="B183" s="4"/>
      <c r="C183" s="4"/>
      <c r="D183" s="4"/>
      <c r="E183" s="4"/>
      <c r="F183" s="4"/>
      <c r="G183" s="4"/>
      <c r="H183" s="4"/>
    </row>
    <row r="184" spans="1:8" ht="15.75" customHeight="1" x14ac:dyDescent="0.2">
      <c r="A184" s="4"/>
      <c r="B184" s="4"/>
      <c r="C184" s="4"/>
      <c r="D184" s="4"/>
      <c r="E184" s="4"/>
      <c r="F184" s="4"/>
      <c r="G184" s="4"/>
      <c r="H184" s="4"/>
    </row>
    <row r="185" spans="1:8" ht="15.75" customHeight="1" x14ac:dyDescent="0.2">
      <c r="A185" s="4"/>
      <c r="B185" s="4"/>
      <c r="C185" s="4"/>
      <c r="D185" s="4"/>
      <c r="E185" s="4"/>
      <c r="F185" s="4"/>
      <c r="G185" s="4"/>
      <c r="H185" s="4"/>
    </row>
    <row r="186" spans="1:8" ht="15.75" customHeight="1" x14ac:dyDescent="0.2">
      <c r="A186" s="4"/>
      <c r="B186" s="4"/>
      <c r="C186" s="4"/>
      <c r="D186" s="4"/>
      <c r="E186" s="4"/>
      <c r="F186" s="4"/>
      <c r="G186" s="4"/>
      <c r="H186" s="4"/>
    </row>
    <row r="187" spans="1:8" ht="15.75" customHeight="1" x14ac:dyDescent="0.2">
      <c r="A187" s="4"/>
      <c r="B187" s="4"/>
      <c r="C187" s="4"/>
      <c r="D187" s="4"/>
      <c r="E187" s="4"/>
      <c r="F187" s="4"/>
      <c r="G187" s="4"/>
      <c r="H187" s="4"/>
    </row>
    <row r="188" spans="1:8" ht="15.75" customHeight="1" x14ac:dyDescent="0.2">
      <c r="A188" s="4"/>
      <c r="B188" s="4"/>
      <c r="C188" s="4"/>
      <c r="D188" s="4"/>
      <c r="E188" s="4"/>
      <c r="F188" s="4"/>
      <c r="G188" s="4"/>
      <c r="H188" s="4"/>
    </row>
    <row r="189" spans="1:8" ht="15.75" customHeight="1" x14ac:dyDescent="0.2">
      <c r="A189" s="4"/>
      <c r="B189" s="4"/>
      <c r="C189" s="4"/>
      <c r="D189" s="4"/>
      <c r="E189" s="4"/>
      <c r="F189" s="4"/>
      <c r="G189" s="4"/>
      <c r="H189" s="4"/>
    </row>
    <row r="190" spans="1:8" ht="15.75" customHeight="1" x14ac:dyDescent="0.2">
      <c r="A190" s="4"/>
      <c r="B190" s="4"/>
      <c r="C190" s="4"/>
      <c r="D190" s="4"/>
      <c r="E190" s="4"/>
      <c r="F190" s="4"/>
      <c r="G190" s="4"/>
      <c r="H190" s="4"/>
    </row>
    <row r="191" spans="1:8" ht="15.75" customHeight="1" x14ac:dyDescent="0.2">
      <c r="A191" s="4"/>
      <c r="B191" s="4"/>
      <c r="C191" s="4"/>
      <c r="D191" s="4"/>
      <c r="E191" s="4"/>
      <c r="F191" s="4"/>
      <c r="G191" s="4"/>
      <c r="H191" s="4"/>
    </row>
    <row r="192" spans="1:8" ht="15.75" customHeight="1" x14ac:dyDescent="0.2">
      <c r="A192" s="4"/>
      <c r="B192" s="4"/>
      <c r="C192" s="4"/>
      <c r="D192" s="4"/>
      <c r="E192" s="4"/>
      <c r="F192" s="4"/>
      <c r="G192" s="4"/>
      <c r="H192" s="4"/>
    </row>
    <row r="193" spans="1:8" ht="15.75" customHeight="1" x14ac:dyDescent="0.2">
      <c r="A193" s="4"/>
      <c r="B193" s="4"/>
      <c r="C193" s="4"/>
      <c r="D193" s="4"/>
      <c r="E193" s="4"/>
      <c r="F193" s="4"/>
      <c r="G193" s="4"/>
      <c r="H193" s="4"/>
    </row>
    <row r="194" spans="1:8" ht="15.75" customHeight="1" x14ac:dyDescent="0.2">
      <c r="A194" s="4"/>
      <c r="B194" s="4"/>
      <c r="C194" s="4"/>
      <c r="D194" s="4"/>
      <c r="E194" s="4"/>
      <c r="F194" s="4"/>
      <c r="G194" s="4"/>
      <c r="H194" s="4"/>
    </row>
    <row r="195" spans="1:8" ht="15.75" customHeight="1" x14ac:dyDescent="0.2">
      <c r="A195" s="4"/>
      <c r="B195" s="4"/>
      <c r="C195" s="4"/>
      <c r="D195" s="4"/>
      <c r="E195" s="4"/>
      <c r="F195" s="4"/>
      <c r="G195" s="4"/>
      <c r="H195" s="4"/>
    </row>
    <row r="196" spans="1:8" ht="15.75" customHeight="1" x14ac:dyDescent="0.2">
      <c r="A196" s="4"/>
      <c r="B196" s="4"/>
      <c r="C196" s="4"/>
      <c r="D196" s="4"/>
      <c r="E196" s="4"/>
      <c r="F196" s="4"/>
      <c r="G196" s="4"/>
      <c r="H196" s="4"/>
    </row>
    <row r="197" spans="1:8" ht="15.75" customHeight="1" x14ac:dyDescent="0.2">
      <c r="A197" s="4"/>
      <c r="B197" s="4"/>
      <c r="C197" s="4"/>
      <c r="D197" s="4"/>
      <c r="E197" s="4"/>
      <c r="F197" s="4"/>
      <c r="G197" s="4"/>
      <c r="H197" s="4"/>
    </row>
    <row r="198" spans="1:8" ht="15.75" customHeight="1" x14ac:dyDescent="0.2">
      <c r="A198" s="4"/>
      <c r="B198" s="4"/>
      <c r="C198" s="4"/>
      <c r="D198" s="4"/>
      <c r="E198" s="4"/>
      <c r="F198" s="4"/>
      <c r="G198" s="4"/>
      <c r="H198" s="4"/>
    </row>
    <row r="199" spans="1:8" ht="15.75" customHeight="1" x14ac:dyDescent="0.2">
      <c r="A199" s="4"/>
      <c r="B199" s="4"/>
      <c r="C199" s="4"/>
      <c r="D199" s="4"/>
      <c r="E199" s="4"/>
      <c r="F199" s="4"/>
      <c r="G199" s="4"/>
      <c r="H199" s="4"/>
    </row>
    <row r="200" spans="1:8" ht="15.75" customHeight="1" x14ac:dyDescent="0.2">
      <c r="A200" s="4"/>
      <c r="B200" s="4"/>
      <c r="C200" s="4"/>
      <c r="D200" s="4"/>
      <c r="E200" s="4"/>
      <c r="F200" s="4"/>
      <c r="G200" s="4"/>
      <c r="H200" s="4"/>
    </row>
    <row r="201" spans="1:8" ht="15.75" customHeight="1" x14ac:dyDescent="0.2">
      <c r="A201" s="4"/>
      <c r="B201" s="4"/>
      <c r="C201" s="4"/>
      <c r="D201" s="4"/>
      <c r="E201" s="4"/>
      <c r="F201" s="4"/>
      <c r="G201" s="4"/>
      <c r="H201" s="4"/>
    </row>
    <row r="202" spans="1:8" ht="15.75" customHeight="1" x14ac:dyDescent="0.2">
      <c r="A202" s="4"/>
      <c r="B202" s="4"/>
      <c r="C202" s="4"/>
      <c r="D202" s="4"/>
      <c r="E202" s="4"/>
      <c r="F202" s="4"/>
      <c r="G202" s="4"/>
      <c r="H202" s="4"/>
    </row>
    <row r="203" spans="1:8" ht="15.75" customHeight="1" x14ac:dyDescent="0.2">
      <c r="A203" s="4"/>
      <c r="B203" s="4"/>
      <c r="C203" s="4"/>
      <c r="D203" s="4"/>
      <c r="E203" s="4"/>
      <c r="F203" s="4"/>
      <c r="G203" s="4"/>
      <c r="H203" s="4"/>
    </row>
    <row r="204" spans="1:8" ht="15.75" customHeight="1" x14ac:dyDescent="0.2">
      <c r="A204" s="4"/>
      <c r="B204" s="4"/>
      <c r="C204" s="4"/>
      <c r="D204" s="4"/>
      <c r="E204" s="4"/>
      <c r="F204" s="4"/>
      <c r="G204" s="4"/>
      <c r="H204" s="4"/>
    </row>
    <row r="205" spans="1:8" ht="15.75" customHeight="1" x14ac:dyDescent="0.2">
      <c r="A205" s="4"/>
      <c r="B205" s="4"/>
      <c r="C205" s="4"/>
      <c r="D205" s="4"/>
      <c r="E205" s="4"/>
      <c r="F205" s="4"/>
      <c r="G205" s="4"/>
      <c r="H205" s="4"/>
    </row>
    <row r="206" spans="1:8" ht="15.75" customHeight="1" x14ac:dyDescent="0.2">
      <c r="A206" s="4"/>
      <c r="B206" s="4"/>
      <c r="C206" s="4"/>
      <c r="D206" s="4"/>
      <c r="E206" s="4"/>
      <c r="F206" s="4"/>
      <c r="G206" s="4"/>
      <c r="H206" s="4"/>
    </row>
    <row r="207" spans="1:8" ht="15.75" customHeight="1" x14ac:dyDescent="0.2">
      <c r="A207" s="4"/>
      <c r="B207" s="4"/>
      <c r="C207" s="4"/>
      <c r="D207" s="4"/>
      <c r="E207" s="4"/>
      <c r="F207" s="4"/>
      <c r="G207" s="4"/>
      <c r="H207" s="4"/>
    </row>
    <row r="208" spans="1:8" ht="15.75" customHeight="1" x14ac:dyDescent="0.2">
      <c r="A208" s="4"/>
      <c r="B208" s="4"/>
      <c r="C208" s="4"/>
      <c r="D208" s="4"/>
      <c r="E208" s="4"/>
      <c r="F208" s="4"/>
      <c r="G208" s="4"/>
      <c r="H208" s="4"/>
    </row>
    <row r="209" spans="1:8" ht="15.75" customHeight="1" x14ac:dyDescent="0.2">
      <c r="A209" s="4"/>
      <c r="B209" s="4"/>
      <c r="C209" s="4"/>
      <c r="D209" s="4"/>
      <c r="E209" s="4"/>
      <c r="F209" s="4"/>
      <c r="G209" s="4"/>
      <c r="H209" s="4"/>
    </row>
    <row r="210" spans="1:8" ht="15.75" customHeight="1" x14ac:dyDescent="0.2">
      <c r="A210" s="4"/>
      <c r="B210" s="4"/>
      <c r="C210" s="4"/>
      <c r="D210" s="4"/>
      <c r="E210" s="4"/>
      <c r="F210" s="4"/>
      <c r="G210" s="4"/>
      <c r="H210" s="4"/>
    </row>
    <row r="211" spans="1:8" ht="15.75" customHeight="1" x14ac:dyDescent="0.2">
      <c r="A211" s="4"/>
      <c r="B211" s="4"/>
      <c r="C211" s="4"/>
      <c r="D211" s="4"/>
      <c r="E211" s="4"/>
      <c r="F211" s="4"/>
      <c r="G211" s="4"/>
      <c r="H211" s="4"/>
    </row>
    <row r="212" spans="1:8" ht="15.75" customHeight="1" x14ac:dyDescent="0.2">
      <c r="A212" s="4"/>
      <c r="B212" s="4"/>
      <c r="C212" s="4"/>
      <c r="D212" s="4"/>
      <c r="E212" s="4"/>
      <c r="F212" s="4"/>
      <c r="G212" s="4"/>
      <c r="H212" s="4"/>
    </row>
    <row r="213" spans="1:8" ht="15.75" customHeight="1" x14ac:dyDescent="0.2">
      <c r="A213" s="4"/>
      <c r="B213" s="4"/>
      <c r="C213" s="4"/>
      <c r="D213" s="4"/>
      <c r="E213" s="4"/>
      <c r="F213" s="4"/>
      <c r="G213" s="4"/>
      <c r="H213" s="4"/>
    </row>
    <row r="214" spans="1:8" ht="15.75" customHeight="1" x14ac:dyDescent="0.2">
      <c r="A214" s="4"/>
      <c r="B214" s="4"/>
      <c r="C214" s="4"/>
      <c r="D214" s="4"/>
      <c r="E214" s="4"/>
      <c r="F214" s="4"/>
      <c r="G214" s="4"/>
      <c r="H214" s="4"/>
    </row>
    <row r="215" spans="1:8" ht="15.75" customHeight="1" x14ac:dyDescent="0.2">
      <c r="A215" s="4"/>
      <c r="B215" s="4"/>
      <c r="C215" s="4"/>
      <c r="D215" s="4"/>
      <c r="E215" s="4"/>
      <c r="F215" s="4"/>
      <c r="G215" s="4"/>
      <c r="H215" s="4"/>
    </row>
    <row r="216" spans="1:8" ht="15.75" customHeight="1" x14ac:dyDescent="0.2">
      <c r="A216" s="4"/>
      <c r="B216" s="4"/>
      <c r="C216" s="4"/>
      <c r="D216" s="4"/>
      <c r="E216" s="4"/>
      <c r="F216" s="4"/>
      <c r="G216" s="4"/>
      <c r="H216" s="4"/>
    </row>
    <row r="217" spans="1:8" ht="15.75" customHeight="1" x14ac:dyDescent="0.2">
      <c r="A217" s="4"/>
      <c r="B217" s="4"/>
      <c r="C217" s="4"/>
      <c r="D217" s="4"/>
      <c r="E217" s="4"/>
      <c r="F217" s="4"/>
      <c r="G217" s="4"/>
      <c r="H217" s="4"/>
    </row>
    <row r="218" spans="1:8" ht="15.75" customHeight="1" x14ac:dyDescent="0.2">
      <c r="A218" s="4"/>
      <c r="B218" s="4"/>
      <c r="C218" s="4"/>
      <c r="D218" s="4"/>
      <c r="E218" s="4"/>
      <c r="F218" s="4"/>
      <c r="G218" s="4"/>
      <c r="H218" s="4"/>
    </row>
    <row r="219" spans="1:8" ht="15.75" customHeight="1" x14ac:dyDescent="0.2">
      <c r="A219" s="4"/>
      <c r="B219" s="4"/>
      <c r="C219" s="4"/>
      <c r="D219" s="4"/>
      <c r="E219" s="4"/>
      <c r="F219" s="4"/>
      <c r="G219" s="4"/>
      <c r="H219" s="4"/>
    </row>
    <row r="220" spans="1:8" ht="15.75" customHeight="1" x14ac:dyDescent="0.2">
      <c r="A220" s="4"/>
      <c r="B220" s="4"/>
      <c r="C220" s="4"/>
      <c r="D220" s="4"/>
      <c r="E220" s="4"/>
      <c r="F220" s="4"/>
      <c r="G220" s="4"/>
      <c r="H220" s="4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:H1"/>
    <mergeCell ref="F3:H3"/>
    <mergeCell ref="B3:D3"/>
    <mergeCell ref="A2:H2"/>
    <mergeCell ref="B4:D4"/>
    <mergeCell ref="F4:H4"/>
    <mergeCell ref="A14:H14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4"/>
  <sheetViews>
    <sheetView showGridLines="0" workbookViewId="0"/>
  </sheetViews>
  <sheetFormatPr baseColWidth="10" defaultColWidth="8.83203125" defaultRowHeight="15" x14ac:dyDescent="0.2"/>
  <cols>
    <col min="1" max="2" width="26" customWidth="1"/>
    <col min="3" max="4" width="13" customWidth="1"/>
    <col min="5" max="5" width="11" customWidth="1"/>
    <col min="6" max="7" width="12" customWidth="1"/>
    <col min="8" max="8" width="16" customWidth="1"/>
  </cols>
  <sheetData>
    <row r="1" spans="1:8" ht="60" x14ac:dyDescent="0.2">
      <c r="A1" s="31" t="s">
        <v>185</v>
      </c>
    </row>
    <row r="3" spans="1:8" ht="30" customHeight="1" x14ac:dyDescent="0.2">
      <c r="A3" s="58" t="s">
        <v>186</v>
      </c>
      <c r="B3" s="47"/>
      <c r="C3" s="47"/>
      <c r="D3" s="47"/>
      <c r="E3" s="47"/>
      <c r="F3" s="47"/>
      <c r="G3" s="47"/>
      <c r="H3" s="47"/>
    </row>
    <row r="5" spans="1:8" ht="30" customHeight="1" x14ac:dyDescent="0.2">
      <c r="A5" s="32" t="s">
        <v>187</v>
      </c>
      <c r="B5" s="32" t="s">
        <v>188</v>
      </c>
      <c r="C5" s="32" t="s">
        <v>8</v>
      </c>
      <c r="D5" s="32" t="s">
        <v>189</v>
      </c>
      <c r="E5" s="32" t="s">
        <v>190</v>
      </c>
      <c r="F5" s="32" t="s">
        <v>191</v>
      </c>
      <c r="G5" s="32" t="s">
        <v>192</v>
      </c>
    </row>
    <row r="6" spans="1:8" ht="58" customHeight="1" x14ac:dyDescent="0.2">
      <c r="A6" s="33" t="s">
        <v>193</v>
      </c>
      <c r="B6" s="34" t="s">
        <v>194</v>
      </c>
      <c r="C6" s="35">
        <v>2</v>
      </c>
      <c r="D6" s="34" t="s">
        <v>195</v>
      </c>
      <c r="E6" s="34" t="s">
        <v>196</v>
      </c>
      <c r="F6" s="34" t="s">
        <v>197</v>
      </c>
      <c r="G6" s="34" t="s">
        <v>198</v>
      </c>
    </row>
    <row r="7" spans="1:8" ht="58" customHeight="1" x14ac:dyDescent="0.2">
      <c r="A7" s="33" t="s">
        <v>199</v>
      </c>
      <c r="B7" s="34" t="s">
        <v>200</v>
      </c>
      <c r="C7" s="35">
        <v>1</v>
      </c>
      <c r="D7" s="34" t="s">
        <v>201</v>
      </c>
      <c r="E7" s="34" t="s">
        <v>202</v>
      </c>
      <c r="F7" s="34" t="s">
        <v>203</v>
      </c>
      <c r="G7" s="34" t="s">
        <v>204</v>
      </c>
    </row>
    <row r="8" spans="1:8" x14ac:dyDescent="0.2">
      <c r="A8" s="58" t="s">
        <v>205</v>
      </c>
      <c r="B8" s="47"/>
      <c r="C8" s="47"/>
      <c r="D8" s="47"/>
      <c r="E8" s="47"/>
      <c r="F8" s="47"/>
      <c r="G8" s="47"/>
      <c r="H8" s="47"/>
    </row>
    <row r="10" spans="1:8" ht="17" x14ac:dyDescent="0.2">
      <c r="A10" s="36" t="s">
        <v>206</v>
      </c>
    </row>
    <row r="11" spans="1:8" x14ac:dyDescent="0.2">
      <c r="A11" s="32" t="s">
        <v>207</v>
      </c>
      <c r="B11" s="32" t="s">
        <v>208</v>
      </c>
      <c r="C11" s="32" t="s">
        <v>209</v>
      </c>
    </row>
    <row r="12" spans="1:8" ht="46" customHeight="1" x14ac:dyDescent="0.2">
      <c r="A12" s="33" t="s">
        <v>210</v>
      </c>
      <c r="B12" s="37" t="s">
        <v>211</v>
      </c>
      <c r="C12" s="63" t="s">
        <v>212</v>
      </c>
      <c r="D12" s="64"/>
      <c r="E12" s="64"/>
      <c r="F12" s="64"/>
      <c r="G12" s="64"/>
      <c r="H12" s="65"/>
    </row>
    <row r="13" spans="1:8" ht="46" customHeight="1" x14ac:dyDescent="0.2">
      <c r="A13" s="33" t="s">
        <v>213</v>
      </c>
      <c r="B13" s="37" t="s">
        <v>214</v>
      </c>
      <c r="C13" s="63" t="s">
        <v>215</v>
      </c>
      <c r="D13" s="64"/>
      <c r="E13" s="64"/>
      <c r="F13" s="64"/>
      <c r="G13" s="64"/>
      <c r="H13" s="65"/>
    </row>
    <row r="14" spans="1:8" ht="46" customHeight="1" x14ac:dyDescent="0.2">
      <c r="A14" s="33" t="s">
        <v>216</v>
      </c>
      <c r="B14" s="37" t="s">
        <v>217</v>
      </c>
      <c r="C14" s="63" t="s">
        <v>218</v>
      </c>
      <c r="D14" s="64"/>
      <c r="E14" s="64"/>
      <c r="F14" s="64"/>
      <c r="G14" s="64"/>
      <c r="H14" s="65"/>
    </row>
    <row r="15" spans="1:8" ht="46" customHeight="1" x14ac:dyDescent="0.2">
      <c r="A15" s="33" t="s">
        <v>219</v>
      </c>
      <c r="B15" s="37" t="s">
        <v>220</v>
      </c>
      <c r="C15" s="63" t="s">
        <v>221</v>
      </c>
      <c r="D15" s="64"/>
      <c r="E15" s="64"/>
      <c r="F15" s="64"/>
      <c r="G15" s="64"/>
      <c r="H15" s="65"/>
    </row>
    <row r="17" spans="1:8" ht="48" x14ac:dyDescent="0.2">
      <c r="A17" s="38" t="s">
        <v>222</v>
      </c>
    </row>
    <row r="18" spans="1:8" ht="44" customHeight="1" x14ac:dyDescent="0.2">
      <c r="A18" s="58" t="s">
        <v>223</v>
      </c>
      <c r="B18" s="47"/>
      <c r="C18" s="47"/>
      <c r="D18" s="47"/>
      <c r="E18" s="47"/>
      <c r="F18" s="47"/>
      <c r="G18" s="47"/>
      <c r="H18" s="47"/>
    </row>
    <row r="21" spans="1:8" ht="51" x14ac:dyDescent="0.2">
      <c r="A21" s="36" t="s">
        <v>224</v>
      </c>
    </row>
    <row r="23" spans="1:8" ht="16" x14ac:dyDescent="0.2">
      <c r="A23" s="38" t="s">
        <v>225</v>
      </c>
      <c r="B23" s="39"/>
      <c r="D23" s="38" t="s">
        <v>226</v>
      </c>
      <c r="E23" s="39"/>
    </row>
    <row r="25" spans="1:8" x14ac:dyDescent="0.2">
      <c r="A25" s="32" t="s">
        <v>227</v>
      </c>
      <c r="B25" s="32" t="s">
        <v>228</v>
      </c>
      <c r="C25" s="32" t="s">
        <v>229</v>
      </c>
      <c r="D25" s="32" t="s">
        <v>230</v>
      </c>
      <c r="E25" s="32" t="s">
        <v>231</v>
      </c>
      <c r="F25" s="32" t="s">
        <v>232</v>
      </c>
      <c r="G25" s="32" t="s">
        <v>233</v>
      </c>
    </row>
    <row r="26" spans="1:8" x14ac:dyDescent="0.2">
      <c r="A26" s="59" t="s">
        <v>234</v>
      </c>
      <c r="B26" s="35" t="s">
        <v>235</v>
      </c>
      <c r="C26" s="40"/>
      <c r="D26" s="40"/>
      <c r="E26" s="41" t="str">
        <f>IF(COUNT(C26:D26)&lt;2,"",(2*C26+D26)/3)</f>
        <v/>
      </c>
      <c r="F26" s="62" t="str">
        <f>IF(COUNT(E26:E28)&lt;3,"",AVERAGE(E26:E28))</f>
        <v/>
      </c>
      <c r="G26" s="42" t="str">
        <f>IF($F$26="","",IF($F$26=0,1,E26/$F$26))</f>
        <v/>
      </c>
    </row>
    <row r="27" spans="1:8" x14ac:dyDescent="0.2">
      <c r="A27" s="60"/>
      <c r="B27" s="35" t="s">
        <v>236</v>
      </c>
      <c r="C27" s="40"/>
      <c r="D27" s="40"/>
      <c r="E27" s="41" t="str">
        <f>IF(COUNT(C27:D27)&lt;2,"",(2*C27+D27)/3)</f>
        <v/>
      </c>
      <c r="F27" s="60"/>
      <c r="G27" s="42" t="str">
        <f>IF($F$26="","",IF($F$26=0,1,E27/$F$26))</f>
        <v/>
      </c>
    </row>
    <row r="28" spans="1:8" x14ac:dyDescent="0.2">
      <c r="A28" s="61"/>
      <c r="B28" s="35" t="s">
        <v>237</v>
      </c>
      <c r="C28" s="40"/>
      <c r="D28" s="40"/>
      <c r="E28" s="41" t="str">
        <f>IF(COUNT(C28:D28)&lt;2,"",(2*C28+D28)/3)</f>
        <v/>
      </c>
      <c r="F28" s="61"/>
      <c r="G28" s="42" t="str">
        <f>IF($F$26="","",IF($F$26=0,1,E28/$F$26))</f>
        <v/>
      </c>
    </row>
    <row r="30" spans="1:8" x14ac:dyDescent="0.2">
      <c r="A30" s="59" t="s">
        <v>238</v>
      </c>
      <c r="B30" s="35" t="s">
        <v>235</v>
      </c>
      <c r="C30" s="40"/>
      <c r="D30" s="40"/>
      <c r="E30" s="41" t="str">
        <f>IF(COUNT(C30:D30)&lt;2,"",(2*C30+D30)/3)</f>
        <v/>
      </c>
      <c r="F30" s="62" t="str">
        <f>IF(COUNT(E30:E32)&lt;3,"",AVERAGE(E30:E32))</f>
        <v/>
      </c>
      <c r="G30" s="42" t="str">
        <f>IF($F$30="","",IF($F$30=0,1,E30/$F$30))</f>
        <v/>
      </c>
    </row>
    <row r="31" spans="1:8" x14ac:dyDescent="0.2">
      <c r="A31" s="60"/>
      <c r="B31" s="35" t="s">
        <v>236</v>
      </c>
      <c r="C31" s="40"/>
      <c r="D31" s="40"/>
      <c r="E31" s="41" t="str">
        <f>IF(COUNT(C31:D31)&lt;2,"",(2*C31+D31)/3)</f>
        <v/>
      </c>
      <c r="F31" s="60"/>
      <c r="G31" s="42" t="str">
        <f>IF($F$30="","",IF($F$30=0,1,E31/$F$30))</f>
        <v/>
      </c>
    </row>
    <row r="32" spans="1:8" x14ac:dyDescent="0.2">
      <c r="A32" s="61"/>
      <c r="B32" s="35" t="s">
        <v>237</v>
      </c>
      <c r="C32" s="40"/>
      <c r="D32" s="40"/>
      <c r="E32" s="41" t="str">
        <f>IF(COUNT(C32:D32)&lt;2,"",(2*C32+D32)/3)</f>
        <v/>
      </c>
      <c r="F32" s="61"/>
      <c r="G32" s="42" t="str">
        <f>IF($F$30="","",IF($F$30=0,1,E32/$F$30))</f>
        <v/>
      </c>
    </row>
    <row r="34" spans="1:8" x14ac:dyDescent="0.2">
      <c r="A34" s="59" t="s">
        <v>239</v>
      </c>
      <c r="B34" s="35" t="s">
        <v>235</v>
      </c>
      <c r="C34" s="40"/>
      <c r="D34" s="40"/>
      <c r="E34" s="41" t="str">
        <f>IF(COUNT(C34:D34)&lt;2,"",(2*C34+D34)/3)</f>
        <v/>
      </c>
      <c r="F34" s="62" t="str">
        <f>IF(COUNT(E34:E36)&lt;3,"",AVERAGE(E34:E36))</f>
        <v/>
      </c>
      <c r="G34" s="42" t="str">
        <f>IF($F$34="","",IF($F$34=0,1,E34/$F$34))</f>
        <v/>
      </c>
    </row>
    <row r="35" spans="1:8" x14ac:dyDescent="0.2">
      <c r="A35" s="60"/>
      <c r="B35" s="35" t="s">
        <v>236</v>
      </c>
      <c r="C35" s="40"/>
      <c r="D35" s="40"/>
      <c r="E35" s="41" t="str">
        <f>IF(COUNT(C35:D35)&lt;2,"",(2*C35+D35)/3)</f>
        <v/>
      </c>
      <c r="F35" s="60"/>
      <c r="G35" s="42" t="str">
        <f>IF($F$34="","",IF($F$34=0,1,E35/$F$34))</f>
        <v/>
      </c>
    </row>
    <row r="36" spans="1:8" x14ac:dyDescent="0.2">
      <c r="A36" s="61"/>
      <c r="B36" s="35" t="s">
        <v>237</v>
      </c>
      <c r="C36" s="40"/>
      <c r="D36" s="40"/>
      <c r="E36" s="41" t="str">
        <f>IF(COUNT(C36:D36)&lt;2,"",(2*C36+D36)/3)</f>
        <v/>
      </c>
      <c r="F36" s="61"/>
      <c r="G36" s="42" t="str">
        <f>IF($F$34="","",IF($F$34=0,1,E36/$F$34))</f>
        <v/>
      </c>
    </row>
    <row r="38" spans="1:8" ht="17" x14ac:dyDescent="0.2">
      <c r="A38" s="36" t="s">
        <v>240</v>
      </c>
    </row>
    <row r="39" spans="1:8" x14ac:dyDescent="0.2">
      <c r="A39" s="32" t="s">
        <v>241</v>
      </c>
      <c r="B39" s="32" t="s">
        <v>242</v>
      </c>
      <c r="C39" s="32" t="s">
        <v>243</v>
      </c>
      <c r="D39" s="32" t="s">
        <v>244</v>
      </c>
      <c r="E39" s="32" t="s">
        <v>245</v>
      </c>
    </row>
    <row r="40" spans="1:8" x14ac:dyDescent="0.2">
      <c r="A40" s="43" t="s">
        <v>235</v>
      </c>
      <c r="B40" s="42" t="str">
        <f>IF(COUNT(G26,G30,G34)&lt;3,"",MEDIAN(G26,G30,G34))</f>
        <v/>
      </c>
      <c r="C40" s="44" t="str">
        <f>IF(B40="","",MIN(1,B40/0.8))</f>
        <v/>
      </c>
      <c r="D40" s="45"/>
      <c r="E40" s="44" t="str">
        <f>IF(OR(C40="",D40=""),"",ROUND(D40*C40,2))</f>
        <v/>
      </c>
    </row>
    <row r="41" spans="1:8" x14ac:dyDescent="0.2">
      <c r="A41" s="43" t="s">
        <v>236</v>
      </c>
      <c r="B41" s="42" t="str">
        <f>IF(COUNT(G27,G31,G35)&lt;3,"",MEDIAN(G27,G31,G35))</f>
        <v/>
      </c>
      <c r="C41" s="44" t="str">
        <f>IF(B41="","",MIN(1,B41/0.8))</f>
        <v/>
      </c>
      <c r="D41" s="45"/>
      <c r="E41" s="44" t="str">
        <f>IF(OR(C41="",D41=""),"",ROUND(D41*C41,2))</f>
        <v/>
      </c>
    </row>
    <row r="42" spans="1:8" x14ac:dyDescent="0.2">
      <c r="A42" s="43" t="s">
        <v>237</v>
      </c>
      <c r="B42" s="42" t="str">
        <f>IF(COUNT(G28,G32,G36)&lt;3,"",MEDIAN(G28,G32,G36))</f>
        <v/>
      </c>
      <c r="C42" s="44" t="str">
        <f>IF(B42="","",MIN(1,B42/0.8))</f>
        <v/>
      </c>
      <c r="D42" s="45"/>
      <c r="E42" s="44" t="str">
        <f>IF(OR(C42="",D42=""),"",ROUND(D42*C42,2))</f>
        <v/>
      </c>
    </row>
    <row r="44" spans="1:8" ht="28" customHeight="1" x14ac:dyDescent="0.2">
      <c r="A44" s="58" t="s">
        <v>246</v>
      </c>
      <c r="B44" s="47"/>
      <c r="C44" s="47"/>
      <c r="D44" s="47"/>
      <c r="E44" s="47"/>
      <c r="F44" s="47"/>
      <c r="G44" s="47"/>
      <c r="H44" s="47"/>
    </row>
  </sheetData>
  <mergeCells count="14">
    <mergeCell ref="A34:A36"/>
    <mergeCell ref="C13:H13"/>
    <mergeCell ref="F34:F36"/>
    <mergeCell ref="F30:F32"/>
    <mergeCell ref="A44:H44"/>
    <mergeCell ref="C15:H15"/>
    <mergeCell ref="A18:H18"/>
    <mergeCell ref="A30:A32"/>
    <mergeCell ref="A3:H3"/>
    <mergeCell ref="F26:F28"/>
    <mergeCell ref="A26:A28"/>
    <mergeCell ref="C14:H14"/>
    <mergeCell ref="C12:H12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organigrama</vt:lpstr>
      <vt:lpstr>Informe</vt:lpstr>
      <vt:lpstr>Exposición y defensa</vt:lpstr>
      <vt:lpstr>Oral – proyecto</vt:lpstr>
      <vt:lpstr>Examen final – informe</vt:lpstr>
      <vt:lpstr>Examen final – oral</vt:lpstr>
      <vt:lpstr>Coevaluación 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Martínez Mayoral, Maria Asuncion</cp:lastModifiedBy>
  <dcterms:created xsi:type="dcterms:W3CDTF">2026-09-04T12:07:45Z</dcterms:created>
  <dcterms:modified xsi:type="dcterms:W3CDTF">2026-09-05T13:09:23Z</dcterms:modified>
</cp:coreProperties>
</file>