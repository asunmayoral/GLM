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Índice" sheetId="1" r:id="rId5"/>
    <sheet state="visible" name="organigrama" sheetId="2" r:id="rId6"/>
    <sheet state="visible" name="Informe" sheetId="3" r:id="rId7"/>
    <sheet state="visible" name="Exposición y defensa" sheetId="4" r:id="rId8"/>
    <sheet state="visible" name="Oral – proyecto" sheetId="5" r:id="rId9"/>
    <sheet state="visible" name="Examen final – informe" sheetId="6" r:id="rId10"/>
    <sheet state="visible" name="Examen final – oral" sheetId="7" r:id="rId11"/>
    <sheet state="visible" name="Coevaluación 360" sheetId="8" r:id="rId12"/>
  </sheets>
  <definedNames/>
  <calcPr/>
</workbook>
</file>

<file path=xl/sharedStrings.xml><?xml version="1.0" encoding="utf-8"?>
<sst xmlns="http://schemas.openxmlformats.org/spreadsheetml/2006/main" count="279" uniqueCount="217">
  <si>
    <t>Rúbricas de calificación · GLM con R</t>
  </si>
  <si>
    <t>Cada hoja contiene una rúbrica en escala 0–3 (0 Suspenso · 1 Recuperable · 2 Notable · 3 Excelente). Nota/10 = (Σ peso·punt)/3×10. Mínimo por prueba: 3,5/10.</t>
  </si>
  <si>
    <t>Rúbricas incluidas:</t>
  </si>
  <si>
    <t>• Informe (P, grupal) — 5 criterios (20/20/30/20/10)</t>
  </si>
  <si>
    <t>• Exposición y defensa (P, grupal) — 50 % del proyecto</t>
  </si>
  <si>
    <t>• Examen oral del proyecto (individual) — 3 bloques (40/35/25)</t>
  </si>
  <si>
    <t>• Examen final – informe (50 %) — 4 criterios (35/25/20/20)</t>
  </si>
  <si>
    <t>• Examen final – oral (50 %) — 3 criterios (40/35/25)</t>
  </si>
  <si>
    <t>• Coevaluación 360 → factor individual w</t>
  </si>
  <si>
    <t>Tipo de evaluación</t>
  </si>
  <si>
    <t>Contenidos</t>
  </si>
  <si>
    <t>Evaluación</t>
  </si>
  <si>
    <t>Peso</t>
  </si>
  <si>
    <t>Criterios</t>
  </si>
  <si>
    <t>Evaluación continua</t>
  </si>
  <si>
    <t>3 Estudios de Caso (EC)</t>
  </si>
  <si>
    <t>N=(EC1+EC2+EC3)*1/3</t>
  </si>
  <si>
    <t>Estudio de caso</t>
  </si>
  <si>
    <t>EC = 0,6*Gru+0,4*Ind</t>
  </si>
  <si>
    <t xml:space="preserve">Evaluación continua: (Gru&gt;=3.5 ^ Ind&gt;=3.5) ^ (EC&gt;=5) </t>
  </si>
  <si>
    <t>Proyecto Grupal</t>
  </si>
  <si>
    <t>Gru = (0,5*Inf + 0,4*Expo + 0,1*Def)*Co</t>
  </si>
  <si>
    <t>Informe (Inf)</t>
  </si>
  <si>
    <t>concreción del problema y objetivos, la descripción de datos y métodos, la adecuación de los resultados e interpretaciones, la redacción y ajuste al formato estandarizado, y el uso ético de la IA</t>
  </si>
  <si>
    <t>Exposición (Expo)</t>
  </si>
  <si>
    <t>narrativa, el soporte visual, la identificación de las ideas clave y la comunicación oral</t>
  </si>
  <si>
    <t>Defensa (Def)</t>
  </si>
  <si>
    <t>corrección y justificación de las respuestas</t>
  </si>
  <si>
    <t>Coevaluación 360 (Co)</t>
  </si>
  <si>
    <t>cumplimiento, contribución y colaboración en el desarrollo del proyecto</t>
  </si>
  <si>
    <t>Examen Oral</t>
  </si>
  <si>
    <t>Defensa individual (Ind)</t>
  </si>
  <si>
    <t xml:space="preserve"> justificaciones técnicas e interpretación de resultados, la resolución de las correcciones señaladas en la evaluación del proyecto, la reflexión sobre los puntos débiles y recomendaciones dadas, y la capacidad de proyección de soluciones a nuevos retos relacionados con el estudio de caso trabajado</t>
  </si>
  <si>
    <t>Examen final</t>
  </si>
  <si>
    <t>1/2 estudios de caso resueltos total/parcialmente</t>
  </si>
  <si>
    <t>N = 0,5*Inf + 0,5*Def</t>
  </si>
  <si>
    <t xml:space="preserve"> justificaciones técnicas e interpretación de resultados, las soluciones e implicaciones derivadas, las capacidades comunicativas escritas y el ajuste al formato estandarizado</t>
  </si>
  <si>
    <t>Defensa Oral (Def)</t>
  </si>
  <si>
    <t>justificación y corrección técnica, interpretación de resultados y comunicación oral</t>
  </si>
  <si>
    <t>Informe</t>
  </si>
  <si>
    <t>Escala por criterio: 0 Suspenso · 1 Recuperable · 2 Notable · 3 Excelente.</t>
  </si>
  <si>
    <t>Estudiante / Grupo:</t>
  </si>
  <si>
    <t>Caso / Proyecto:</t>
  </si>
  <si>
    <t>Fecha:</t>
  </si>
  <si>
    <t>Evaluador/a:</t>
  </si>
  <si>
    <t>Criterio</t>
  </si>
  <si>
    <t>Qué se valora</t>
  </si>
  <si>
    <t>0 · Suspenso</t>
  </si>
  <si>
    <t>1 · Recuperable</t>
  </si>
  <si>
    <t>2 · Notable</t>
  </si>
  <si>
    <t>3 · Excelente</t>
  </si>
  <si>
    <t>Punt. (0–3)</t>
  </si>
  <si>
    <t>Problema, audiencia y objetivos</t>
  </si>
  <si>
    <t>Concreción del problema, ajuste a la audiencia y objetivos, según la tipología de informe.</t>
  </si>
  <si>
    <t>Problema u objetivos ausentes o confusos; no atiende a la audiencia.</t>
  </si>
  <si>
    <t>Problema y objetivos esbozados, con imprecisiones o desajuste con la audiencia.</t>
  </si>
  <si>
    <t>Problema y objetivos claros y adecuados a la audiencia, con algún matiz mejorable.</t>
  </si>
  <si>
    <t>Problema bien delimitado, objetivos precisos y enfoque plenamente ajustado a la audiencia.</t>
  </si>
  <si>
    <t>Datos, método y reproducibilidad</t>
  </si>
  <si>
    <t>Descripción de datos, elección de familia/enlace y código reproducible.</t>
  </si>
  <si>
    <t>Datos o método mal descritos; no reproducible.</t>
  </si>
  <si>
    <t>Descripción parcial; reproducibilidad limitada o con lagunas.</t>
  </si>
  <si>
    <t>Datos y método correctos y reproducibles, con detalles menores por pulir.</t>
  </si>
  <si>
    <t>Datos y método rigurosos, decisiones justificadas y pipeline plenamente reproducible.</t>
  </si>
  <si>
    <t>Resultados, visualización e interpretación</t>
  </si>
  <si>
    <t>Adecuación de resultados, calidad de las figuras e interpretación en la escala correcta.</t>
  </si>
  <si>
    <t>Resultados erróneos o sin interpretar; visualización inadecuada.</t>
  </si>
  <si>
    <t>Resultados básicos con interpretación superficial o en escala incorrecta.</t>
  </si>
  <si>
    <t>Resultados correctos, bien visualizados e interpretados con prudencia, con algún matiz.</t>
  </si>
  <si>
    <t>Resultados sólidos, visualización excelente e interpretación precisa (OR/IRR/efectos) con incertidumbre y límites.</t>
  </si>
  <si>
    <t>Redacción, formato y referencias (APA 7)</t>
  </si>
  <si>
    <t>Claridad de la redacción y adecuación a audiencia/informe, respeto de la plantilla estandarizada, formateado de figuras y tablas, y citas y referencias en APA 7.</t>
  </si>
  <si>
    <t>Redacción deficiente; no respeta la plantilla; figuras/tablas sin formato; sin citas APA.</t>
  </si>
  <si>
    <t>Redacción mejorable; cumple la plantilla a medias; figuras/tablas o citas con fallos frecuentes.</t>
  </si>
  <si>
    <t>Redacción clara y plantilla respetada; figuras, tablas y citas correctas con descuidos menores.</t>
  </si>
  <si>
    <t>Redacción excelente; plantilla y formato de figuras/tablas impecables; citas y referencias APA 7 sin errores.</t>
  </si>
  <si>
    <t>Uso ético de la IA</t>
  </si>
  <si>
    <t>Apartado obligatorio: qué herramientas se usaron, para qué y cómo se verificaron sus respuestas.</t>
  </si>
  <si>
    <t>Falta el apartado obligatorio sobre uso de la IA.</t>
  </si>
  <si>
    <t>Apartado superficial; no explica cómo se usó ni cómo se verificó.</t>
  </si>
  <si>
    <t>Explica qué se usó y para qué, con una verificación somera.</t>
  </si>
  <si>
    <t>Detalla uso y verificación de la IA de forma crítica y trazable.</t>
  </si>
  <si>
    <t>Nota (sobre 10):</t>
  </si>
  <si>
    <t>¿Supera la prueba? (Nota ≥ 3,5):</t>
  </si>
  <si>
    <t>Salvaguarda: sin el apartado de uso de la IA (criterio 5 = 0), el informe no puede alcanzar «excelente». Conversión: Nota = (Σ pesoᵢ·puntᵢ)/3×10. Mínimo de la prueba: Nota ≥ 3,5/10. Descriptores orientativos; ajústense al caso.</t>
  </si>
  <si>
    <t>Exposición y defensa</t>
  </si>
  <si>
    <t>Escala por criterio: 0 Suspenso · 1 Recuperable · 2 Notable · 3 Excelente. Rúbrica única (50 % del proyecto): exposición 40 % (narrativa, soporte visual, foco y desempeño) + defensa Q&amp;A 10 %.</t>
  </si>
  <si>
    <t>Narrativa</t>
  </si>
  <si>
    <t>Hilo entre audiencia, contexto, resultados, implicaciones y cierre.</t>
  </si>
  <si>
    <t>Sin hilo; no conecta audiencia, contexto ni cierre.</t>
  </si>
  <si>
    <t>Hilo débil o fragmentado; faltan enlaces (p. ej. implicaciones o cierre).</t>
  </si>
  <si>
    <t>Hilo coherente que enlaza audiencia, contexto, resultados e implicaciones, con algún salto.</t>
  </si>
  <si>
    <t>Narrativa única y fluida: audiencia, contexto, resultados, implicaciones y cierre perfectamente hilados.</t>
  </si>
  <si>
    <t>Soporte visual</t>
  </si>
  <si>
    <t>Estética y estructura de las diapositivas.</t>
  </si>
  <si>
    <t>Diapositivas confusas o sobrecargadas; sin estructura.</t>
  </si>
  <si>
    <t>Estética o estructura pobres; dificultan el seguimiento.</t>
  </si>
  <si>
    <t>Diapositivas claras y bien estructuradas, con algún exceso o desajuste.</t>
  </si>
  <si>
    <t>Soporte visual excelente: estética cuidada y estructura que refuerza el mensaje.</t>
  </si>
  <si>
    <t>Foco: ideas clave, resultados y justificaciones</t>
  </si>
  <si>
    <t>Selección de lo esencial y justificación correcta de resultados y decisiones.</t>
  </si>
  <si>
    <t>Se pierde en detalle o no identifica las ideas clave; sin justificar.</t>
  </si>
  <si>
    <t>Prioriza mal; resultados o justificaciones incompletos o con errores.</t>
  </si>
  <si>
    <t>Selecciona las ideas clave y justifica los resultados, con alguna laguna.</t>
  </si>
  <si>
    <t>Foco preciso en lo esencial; resultados bien presentados y justificados con rigor.</t>
  </si>
  <si>
    <t>Desempeño</t>
  </si>
  <si>
    <t>Oralidad, gestión de los tiempos y decoro.</t>
  </si>
  <si>
    <t>Oralidad deficiente, fuera de tiempo o actitud poco profesional.</t>
  </si>
  <si>
    <t>Oralidad o gestión del tiempo mejorables; decoro justo.</t>
  </si>
  <si>
    <t>Buena oralidad, dentro del tiempo y con decoro, con desviaciones menores.</t>
  </si>
  <si>
    <t>Oralidad excelente, ajuste perfecto al tiempo y plena profesionalidad.</t>
  </si>
  <si>
    <t>Defensa (Q&amp;A)</t>
  </si>
  <si>
    <t>Corrección y justificación de la respuesta a las preguntas (1–2).</t>
  </si>
  <si>
    <t>No responde o responde con errores graves; sin justificar.</t>
  </si>
  <si>
    <t>Responde a medias, con imprecisiones; justificación débil.</t>
  </si>
  <si>
    <t>Responde correctamente y justifica, con alguna laguna.</t>
  </si>
  <si>
    <t>Responde con solidez y justifica con evidencia del proyecto, reconociendo los límites.</t>
  </si>
  <si>
    <t>Conversión: Nota = (Σ pesoᵢ·puntᵢ)/3×10. Mínimo de la prueba: Nota ≥ 3,5/10. Descriptores orientativos; ajústense al caso.</t>
  </si>
  <si>
    <t>Rúbrica · Examen oral del proyecto</t>
  </si>
  <si>
    <t>Escala por bloque: 0 Suspenso · 1 Recuperable · 2 Notable · 3 Excelente.  En cada bloque, el profesorado plantea UNA cuestión sobre el aspecto indicado.</t>
  </si>
  <si>
    <t>Estudiante:</t>
  </si>
  <si>
    <t>Bloque</t>
  </si>
  <si>
    <t>El profesorado pregunta por…</t>
  </si>
  <si>
    <t>1. Justificaciones técnicas e interpretación</t>
  </si>
  <si>
    <t>la justificación de las respuestas dadas y la interpretación solicitada de resultados</t>
  </si>
  <si>
    <t>No justifica la respuesta o interpreta de forma incorrecta.</t>
  </si>
  <si>
    <t>Justifica o interpreta a medias, con errores que no lo invalidan del todo.</t>
  </si>
  <si>
    <t>Justifica e interpreta correctamente, con alguna imprecisión menor.</t>
  </si>
  <si>
    <t>Justifica con solidez familia/enlace e interpreta en la escala correcta y en lenguaje del problema, con matices.</t>
  </si>
  <si>
    <t>2. Solución a un punto débil</t>
  </si>
  <si>
    <t>la solución a uno de los puntos débiles detectados en la corrección</t>
  </si>
  <si>
    <t>No reconoce el punto débil o no aporta una solución válida.</t>
  </si>
  <si>
    <t>Reconoce el problema, pero la solución es vaga o solo parcialmente correcta.</t>
  </si>
  <si>
    <t>Explica la solución correctamente, aunque sin toda la profundidad.</t>
  </si>
  <si>
    <t>Identifica el punto débil y explica con claridad la solución y por qué es adecuada.</t>
  </si>
  <si>
    <t>3. Extensión / nuevos retos</t>
  </si>
  <si>
    <t>una extensión o un nuevo reto sobre el problema ya resuelto</t>
  </si>
  <si>
    <t>No aporta.</t>
  </si>
  <si>
    <t>Respuesta genérica o superficial.</t>
  </si>
  <si>
    <t>Aporta una idea razonable, aunque poco desarrollada.</t>
  </si>
  <si>
    <t>Propone una extensión pertinente y bien razonada ante el nuevo reto.</t>
  </si>
  <si>
    <t>Nota del oral E (sobre 10):</t>
  </si>
  <si>
    <t>¿Supera la prueba? (E ≥ 3,5 y bloque 1 ≥ 1):</t>
  </si>
  <si>
    <t>Mínimo de la prueba: E ≥ 3,5/10 y bloque 1 distinto de 0 (no puede dejarse en blanco la justificación/interpretación). Conversión: E = (0,40·B1 + 0,35·B2 + 0,25·B3)/3×10.</t>
  </si>
  <si>
    <t>Examen final – informe</t>
  </si>
  <si>
    <t>Examen final, parte escrita (50 %). Sin acceso a internet ni IA y sobre resultados ya proporcionados: no se evalúan uso de IA ni referencias. Escala 0–3.</t>
  </si>
  <si>
    <t>Justificaciones técnicas e interpretación</t>
  </si>
  <si>
    <t>Justificación de la modelización e interpretación correcta de los resultados (escala adecuada).</t>
  </si>
  <si>
    <t>No justifica la modelización o interpreta de forma incorrecta.</t>
  </si>
  <si>
    <t>Justifica e interpreta correctamente, con alguna imprecisión.</t>
  </si>
  <si>
    <t>Justifica con solidez e interpreta con precisión, en la escala correcta y en lenguaje del problema.</t>
  </si>
  <si>
    <t>Soluciones e implicaciones derivadas</t>
  </si>
  <si>
    <t>Soluciones propuestas e implicaciones extraídas de los resultados.</t>
  </si>
  <si>
    <t>No deriva soluciones ni implicaciones, o son erróneas.</t>
  </si>
  <si>
    <t>Soluciones o implicaciones vagas o solo parcialmente correctas.</t>
  </si>
  <si>
    <t>Soluciones e implicaciones correctas, con algún punto sin desarrollar.</t>
  </si>
  <si>
    <t>Soluciones e implicaciones pertinentes, bien razonadas y útiles para la decisión.</t>
  </si>
  <si>
    <t>Comunicación escrita</t>
  </si>
  <si>
    <t>Claridad, orden y precisión de la redacción.</t>
  </si>
  <si>
    <t>Redacción confusa; no se sigue el razonamiento.</t>
  </si>
  <si>
    <t>Redacción mejorable; ideas desordenadas o imprecisas.</t>
  </si>
  <si>
    <t>Redacción clara y ordenada, con descuidos menores.</t>
  </si>
  <si>
    <t>Redacción excelente, precisa y bien estructurada.</t>
  </si>
  <si>
    <t>Ajuste al formato estandarizado</t>
  </si>
  <si>
    <t>Respeto del formato solicitado (estructura, figuras y tablas).</t>
  </si>
  <si>
    <t>No respeta el formato solicitado.</t>
  </si>
  <si>
    <t>Cumple el formato a medias; estructura o figuras/tablas con fallos.</t>
  </si>
  <si>
    <t>Respeta el formato, con descuidos menores en estructura o figuras/tablas.</t>
  </si>
  <si>
    <t>Formato impecable: estructura, figuras y tablas conforme a lo solicitado.</t>
  </si>
  <si>
    <t>Examen final – oral</t>
  </si>
  <si>
    <t>Examen final, defensa oral (50 %): el estudiante expone su informe y responde a las preguntas. Escala 0–3.</t>
  </si>
  <si>
    <t>Justificación y corrección técnica</t>
  </si>
  <si>
    <t>Corrección técnica y justificación de las respuestas a las preguntas.</t>
  </si>
  <si>
    <t>Responde con solidez técnica y justifica con rigor.</t>
  </si>
  <si>
    <t>Interpretación</t>
  </si>
  <si>
    <t>Interpretación de los resultados en la escala correcta y en el contexto del problema.</t>
  </si>
  <si>
    <t>No interpreta o lo hace de forma incorrecta.</t>
  </si>
  <si>
    <t>Interpretación superficial o en escala incorrecta.</t>
  </si>
  <si>
    <t>Interpreta correctamente, con alguna imprecisión.</t>
  </si>
  <si>
    <t>Interpreta con precisión, en la escala correcta y en lenguaje del problema.</t>
  </si>
  <si>
    <t>Comunicación oral</t>
  </si>
  <si>
    <t>Claridad, orden y precisión al exponer el informe y responder.</t>
  </si>
  <si>
    <t>Exposición confusa; no transmite el contenido.</t>
  </si>
  <si>
    <t>Exposición poco clara o desordenada.</t>
  </si>
  <si>
    <t>Exposición clara y ordenada, con desviaciones menores.</t>
  </si>
  <si>
    <t>Exposición excelente: clara, precisa y bien estructurada.</t>
  </si>
  <si>
    <t>Coevaluación 360 · factor individual w</t>
  </si>
  <si>
    <t>Cada estudiante puntúa a cada compañero/a de 0 a 4 en tres ítems. La implicación recibida de cada evaluador es la media de sus tres ítems; w se fija por la mediana (robusta) de las implicaciones recibidas.</t>
  </si>
  <si>
    <t>Estudiante evaluado/a:</t>
  </si>
  <si>
    <t>Evaluador/a</t>
  </si>
  <si>
    <t>Cumplimiento (tareas del rol y plazos) (0–4)</t>
  </si>
  <si>
    <t>Contribución (calidad de la aportación individual) (0–4)</t>
  </si>
  <si>
    <t>Colaboración (cooperación en el equipo) (0–4)</t>
  </si>
  <si>
    <t>Implicación (media)</t>
  </si>
  <si>
    <t>Valoraciones (extra)</t>
  </si>
  <si>
    <t>Compañero/a 1</t>
  </si>
  <si>
    <t>Compañero/a 2</t>
  </si>
  <si>
    <t>Autoevaluación</t>
  </si>
  <si>
    <t>evidencias</t>
  </si>
  <si>
    <t>valoración global del trabajo realizado</t>
  </si>
  <si>
    <t>uso de recursos, aprendizaje adquirido</t>
  </si>
  <si>
    <t>Mediana de implicación recibida:</t>
  </si>
  <si>
    <t>Factor w:</t>
  </si>
  <si>
    <t>Bandas de w</t>
  </si>
  <si>
    <t>Banda</t>
  </si>
  <si>
    <t>Criterio (mediana 0–4)</t>
  </si>
  <si>
    <t>w</t>
  </si>
  <si>
    <t>Implicación plena</t>
  </si>
  <si>
    <t>mediana ≥ 3</t>
  </si>
  <si>
    <t>1,00</t>
  </si>
  <si>
    <t>Implicación parcial</t>
  </si>
  <si>
    <t>1,5 ≤ mediana &lt; 3</t>
  </si>
  <si>
    <t>0,80</t>
  </si>
  <si>
    <t>Implicación insuficiente</t>
  </si>
  <si>
    <t>mediana &lt; 1,5</t>
  </si>
  <si>
    <t>≤ 0,50</t>
  </si>
  <si>
    <t>Ítems: Cumplimiento (tareas del rol y plazos) · Contribución (calidad del trabajo) · Colaboración (facilita al equipo). Salvaguardas: no computan las coevaluaciones emitidas por quien queda en banda insuficiente; no cumplimentar bitácora/coevaluación limita w a 0,80; el docente revisa discrepancias con la evidencia de contribución antes de fijar w.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</si>
</sst>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4.0"/>
      <color theme="1"/>
      <name val="Arial"/>
    </font>
    <font>
      <sz val="11.0"/>
      <color theme="1"/>
      <name val="Calibri"/>
    </font>
    <font>
      <i/>
      <sz val="10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sz val="11.0"/>
      <color rgb="FF000000"/>
      <name val="Arial"/>
    </font>
    <font>
      <b/>
      <sz val="14.0"/>
      <color theme="1"/>
      <name val="Calibri"/>
      <scheme val="minor"/>
    </font>
    <font>
      <sz val="9.0"/>
      <color theme="1"/>
      <name val="Calibri"/>
      <scheme val="minor"/>
    </font>
    <font>
      <b/>
      <sz val="11.0"/>
      <color theme="1"/>
      <name val="Calibri"/>
      <scheme val="minor"/>
    </font>
    <font>
      <b/>
      <sz val="11.0"/>
      <color rgb="FFFFFFFF"/>
      <name val="Calibri"/>
      <scheme val="minor"/>
    </font>
    <font/>
    <font>
      <b/>
      <sz val="11.0"/>
      <color rgb="FFFFFFFF"/>
      <name val="Arial"/>
    </font>
    <font>
      <sz val="9.0"/>
      <color theme="1"/>
      <name val="Arial"/>
    </font>
    <font>
      <b/>
      <sz val="11.0"/>
      <color rgb="FF0000FF"/>
      <name val="Arial"/>
    </font>
    <font>
      <i/>
      <sz val="9.0"/>
      <color theme="1"/>
      <name val="Arial"/>
    </font>
    <font>
      <b/>
      <sz val="11.0"/>
      <color rgb="FFFFFFFF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2E5496"/>
        <bgColor rgb="FF2E5496"/>
      </patternFill>
    </fill>
    <fill>
      <patternFill patternType="solid">
        <fgColor rgb="FFDEEAF6"/>
        <bgColor rgb="FFDEEAF6"/>
      </patternFill>
    </fill>
    <fill>
      <patternFill patternType="solid">
        <fgColor rgb="FFFFF2CC"/>
        <bgColor rgb="FFFFF2CC"/>
      </patternFill>
    </fill>
  </fills>
  <borders count="6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BBBBB"/>
      </left>
      <top style="thin">
        <color rgb="FFBBBBBB"/>
      </top>
      <bottom style="thin">
        <color rgb="FFBBBBBB"/>
      </bottom>
    </border>
    <border>
      <top style="thin">
        <color rgb="FFBBBBBB"/>
      </top>
      <bottom style="thin">
        <color rgb="FFBBBBBB"/>
      </bottom>
    </border>
    <border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Font="1"/>
    <xf borderId="0" fillId="2" fontId="7" numFmtId="0" xfId="0" applyAlignment="1" applyFill="1" applyFont="1">
      <alignment readingOrder="0"/>
    </xf>
    <xf borderId="0" fillId="2" fontId="7" numFmtId="0" xfId="0" applyAlignment="1" applyFont="1">
      <alignment readingOrder="0" shrinkToFit="0" wrapText="1"/>
    </xf>
    <xf borderId="0" fillId="2" fontId="7" numFmtId="0" xfId="0" applyAlignment="1" applyFont="1">
      <alignment horizontal="center" readingOrder="0"/>
    </xf>
    <xf borderId="0" fillId="2" fontId="7" numFmtId="0" xfId="0" applyAlignment="1" applyFont="1">
      <alignment horizontal="center" readingOrder="0" shrinkToFit="0" wrapText="1"/>
    </xf>
    <xf borderId="0" fillId="0" fontId="7" numFmtId="0" xfId="0" applyAlignment="1" applyFont="1">
      <alignment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6" numFmtId="10" xfId="0" applyAlignment="1" applyFont="1" applyNumberFormat="1">
      <alignment readingOrder="0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wrapText="1"/>
    </xf>
    <xf borderId="0" fillId="2" fontId="6" numFmtId="0" xfId="0" applyFont="1"/>
    <xf borderId="0" fillId="2" fontId="6" numFmtId="0" xfId="0" applyAlignment="1" applyFont="1">
      <alignment readingOrder="0" shrinkToFit="0" wrapText="1"/>
    </xf>
    <xf borderId="0" fillId="2" fontId="6" numFmtId="0" xfId="0" applyAlignment="1" applyFont="1">
      <alignment shrinkToFit="0" wrapText="1"/>
    </xf>
    <xf borderId="0" fillId="0" fontId="8" numFmtId="0" xfId="0" applyAlignment="1" applyFont="1">
      <alignment readingOrder="0" shrinkToFit="0" wrapText="1"/>
    </xf>
    <xf borderId="0" fillId="0" fontId="9" numFmtId="0" xfId="0" applyFont="1"/>
    <xf borderId="0" fillId="0" fontId="10" numFmtId="0" xfId="0" applyAlignment="1" applyFont="1">
      <alignment shrinkToFit="0" vertical="center" wrapText="1"/>
    </xf>
    <xf borderId="0" fillId="0" fontId="11" numFmtId="0" xfId="0" applyFont="1"/>
    <xf borderId="0" fillId="0" fontId="2" numFmtId="0" xfId="0" applyFont="1"/>
    <xf borderId="1" fillId="3" fontId="12" numFmtId="0" xfId="0" applyAlignment="1" applyBorder="1" applyFill="1" applyFont="1">
      <alignment horizontal="center" shrinkToFit="0" vertical="center" wrapText="1"/>
    </xf>
    <xf borderId="1" fillId="0" fontId="11" numFmtId="0" xfId="0" applyAlignment="1" applyBorder="1" applyFont="1">
      <alignment shrinkToFit="0" vertical="top" wrapText="1"/>
    </xf>
    <xf borderId="1" fillId="0" fontId="0" numFmtId="0" xfId="0" applyAlignment="1" applyBorder="1" applyFont="1">
      <alignment readingOrder="0" shrinkToFit="0" vertical="top" wrapText="1"/>
    </xf>
    <xf borderId="1" fillId="0" fontId="0" numFmtId="0" xfId="0" applyAlignment="1" applyBorder="1" applyFont="1">
      <alignment horizontal="center" shrinkToFit="0" vertical="center" wrapText="1"/>
    </xf>
    <xf borderId="1" fillId="0" fontId="0" numFmtId="0" xfId="0" applyAlignment="1" applyBorder="1" applyFont="1">
      <alignment shrinkToFit="0" vertical="top" wrapText="1"/>
    </xf>
    <xf borderId="1" fillId="0" fontId="0" numFmtId="0" xfId="0" applyAlignment="1" applyBorder="1" applyFont="1">
      <alignment horizontal="center" readingOrder="0" shrinkToFit="0" vertical="center" wrapText="1"/>
    </xf>
    <xf borderId="1" fillId="4" fontId="11" numFmtId="0" xfId="0" applyAlignment="1" applyBorder="1" applyFill="1" applyFont="1">
      <alignment horizontal="center"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top" wrapText="1"/>
    </xf>
    <xf borderId="2" fillId="5" fontId="2" numFmtId="0" xfId="0" applyAlignment="1" applyBorder="1" applyFill="1" applyFont="1">
      <alignment vertical="bottom"/>
    </xf>
    <xf borderId="3" fillId="0" fontId="13" numFmtId="0" xfId="0" applyBorder="1" applyFont="1"/>
    <xf borderId="4" fillId="0" fontId="13" numFmtId="0" xfId="0" applyBorder="1" applyFont="1"/>
    <xf borderId="5" fillId="3" fontId="14" numFmtId="0" xfId="0" applyAlignment="1" applyBorder="1" applyFont="1">
      <alignment horizontal="center" shrinkToFit="0" vertical="center" wrapText="1"/>
    </xf>
    <xf borderId="5" fillId="0" fontId="4" numFmtId="0" xfId="0" applyAlignment="1" applyBorder="1" applyFont="1">
      <alignment shrinkToFit="0" vertical="top" wrapText="1"/>
    </xf>
    <xf borderId="5" fillId="0" fontId="5" numFmtId="0" xfId="0" applyAlignment="1" applyBorder="1" applyFont="1">
      <alignment readingOrder="0" shrinkToFit="0" vertical="top" wrapText="1"/>
    </xf>
    <xf borderId="5" fillId="0" fontId="5" numFmtId="9" xfId="0" applyAlignment="1" applyBorder="1" applyFont="1" applyNumberFormat="1">
      <alignment horizontal="center" shrinkToFit="0" vertical="center" wrapText="1"/>
    </xf>
    <xf borderId="5" fillId="0" fontId="15" numFmtId="0" xfId="0" applyAlignment="1" applyBorder="1" applyFont="1">
      <alignment readingOrder="0" shrinkToFit="0" vertical="top" wrapText="1"/>
    </xf>
    <xf borderId="5" fillId="0" fontId="15" numFmtId="0" xfId="0" applyAlignment="1" applyBorder="1" applyFont="1">
      <alignment shrinkToFit="0" vertical="top" wrapText="1"/>
    </xf>
    <xf borderId="5" fillId="5" fontId="16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shrinkToFit="0" vertical="top" wrapText="1"/>
    </xf>
    <xf borderId="5" fillId="4" fontId="4" numFmtId="0" xfId="0" applyAlignment="1" applyBorder="1" applyFont="1">
      <alignment horizontal="center" shrinkToFit="0" vertical="center" wrapText="1"/>
    </xf>
    <xf borderId="0" fillId="0" fontId="17" numFmtId="0" xfId="0" applyAlignment="1" applyFont="1">
      <alignment shrinkToFit="0" vertical="top" wrapText="1"/>
    </xf>
    <xf borderId="1" fillId="3" fontId="18" numFmtId="0" xfId="0" applyAlignment="1" applyBorder="1" applyFont="1">
      <alignment horizontal="center" shrinkToFit="0" wrapText="1"/>
    </xf>
    <xf borderId="1" fillId="3" fontId="18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0.0"/>
    <col customWidth="1" min="2" max="26" width="8.71"/>
  </cols>
  <sheetData>
    <row r="1" ht="17.25" customHeight="1">
      <c r="A1" s="1" t="s">
        <v>0</v>
      </c>
    </row>
    <row r="2">
      <c r="A2" s="2"/>
    </row>
    <row r="3" ht="15.0" customHeight="1">
      <c r="A3" s="3" t="s">
        <v>1</v>
      </c>
    </row>
    <row r="4">
      <c r="A4" s="2"/>
    </row>
    <row r="5" ht="15.0" customHeight="1">
      <c r="A5" s="4" t="s">
        <v>2</v>
      </c>
    </row>
    <row r="6" ht="15.0" customHeight="1">
      <c r="A6" s="5" t="s">
        <v>3</v>
      </c>
    </row>
    <row r="7">
      <c r="A7" s="2" t="s">
        <v>4</v>
      </c>
    </row>
    <row r="8">
      <c r="A8" s="2" t="s">
        <v>5</v>
      </c>
    </row>
    <row r="9">
      <c r="A9" s="2" t="s">
        <v>6</v>
      </c>
    </row>
    <row r="10">
      <c r="A10" s="6" t="s">
        <v>7</v>
      </c>
    </row>
    <row r="11">
      <c r="A11" s="6" t="s">
        <v>8</v>
      </c>
    </row>
    <row r="12">
      <c r="A12" s="2"/>
    </row>
    <row r="13">
      <c r="A13" s="2"/>
    </row>
    <row r="14">
      <c r="A14" s="2"/>
    </row>
    <row r="15">
      <c r="A15" s="2"/>
    </row>
    <row r="16">
      <c r="A16" s="2"/>
    </row>
    <row r="17">
      <c r="A17" s="2"/>
    </row>
    <row r="18">
      <c r="A18" s="2"/>
    </row>
    <row r="19">
      <c r="A19" s="2"/>
    </row>
    <row r="20">
      <c r="A20" s="2"/>
    </row>
    <row r="21" ht="15.75" customHeight="1">
      <c r="A21" s="2"/>
    </row>
    <row r="22" ht="15.75" customHeight="1">
      <c r="A22" s="2"/>
    </row>
    <row r="23" ht="15.75" customHeight="1">
      <c r="A23" s="2"/>
    </row>
    <row r="24" ht="15.75" customHeight="1">
      <c r="A24" s="2"/>
    </row>
    <row r="25" ht="15.75" customHeight="1">
      <c r="A25" s="2"/>
    </row>
    <row r="26" ht="15.75" customHeight="1">
      <c r="A26" s="2"/>
    </row>
    <row r="27" ht="15.75" customHeight="1">
      <c r="A27" s="2"/>
    </row>
    <row r="28" ht="15.75" customHeight="1">
      <c r="A28" s="2"/>
    </row>
    <row r="29" ht="15.75" customHeight="1">
      <c r="A29" s="2"/>
    </row>
    <row r="30" ht="15.75" customHeight="1">
      <c r="A30" s="2"/>
    </row>
    <row r="31" ht="15.75" customHeight="1">
      <c r="A31" s="2"/>
    </row>
    <row r="32" ht="15.75" customHeight="1">
      <c r="A32" s="2"/>
    </row>
    <row r="33" ht="15.75" customHeight="1">
      <c r="A33" s="2"/>
    </row>
    <row r="34" ht="15.75" customHeight="1">
      <c r="A34" s="2"/>
    </row>
    <row r="35" ht="15.75" customHeight="1">
      <c r="A35" s="2"/>
    </row>
    <row r="36" ht="15.75" customHeight="1">
      <c r="A36" s="2"/>
    </row>
    <row r="37" ht="15.75" customHeight="1">
      <c r="A37" s="2"/>
    </row>
    <row r="38" ht="15.75" customHeight="1">
      <c r="A38" s="2"/>
    </row>
    <row r="39" ht="15.75" customHeight="1">
      <c r="A39" s="2"/>
    </row>
    <row r="40" ht="15.75" customHeight="1">
      <c r="A40" s="2"/>
    </row>
    <row r="41" ht="15.75" customHeight="1">
      <c r="A41" s="2"/>
    </row>
    <row r="42" ht="15.75" customHeight="1">
      <c r="A42" s="2"/>
    </row>
    <row r="43" ht="15.75" customHeight="1">
      <c r="A43" s="2"/>
    </row>
    <row r="44" ht="15.75" customHeight="1">
      <c r="A44" s="2"/>
    </row>
    <row r="45" ht="15.75" customHeight="1">
      <c r="A45" s="2"/>
    </row>
    <row r="46" ht="15.75" customHeight="1">
      <c r="A46" s="2"/>
    </row>
    <row r="47" ht="15.75" customHeight="1">
      <c r="A47" s="2"/>
    </row>
    <row r="48" ht="15.75" customHeight="1">
      <c r="A48" s="2"/>
    </row>
    <row r="49" ht="15.75" customHeight="1">
      <c r="A49" s="2"/>
    </row>
    <row r="50" ht="15.75" customHeight="1">
      <c r="A50" s="2"/>
    </row>
    <row r="51" ht="15.75" customHeight="1">
      <c r="A51" s="2"/>
    </row>
    <row r="52" ht="15.75" customHeight="1">
      <c r="A52" s="2"/>
    </row>
    <row r="53" ht="15.75" customHeight="1">
      <c r="A53" s="2"/>
    </row>
    <row r="54" ht="15.75" customHeight="1">
      <c r="A54" s="2"/>
    </row>
    <row r="55" ht="15.75" customHeight="1">
      <c r="A55" s="2"/>
    </row>
    <row r="56" ht="15.75" customHeight="1">
      <c r="A56" s="2"/>
    </row>
    <row r="57" ht="15.75" customHeight="1">
      <c r="A57" s="2"/>
    </row>
    <row r="58" ht="15.75" customHeight="1">
      <c r="A58" s="2"/>
    </row>
    <row r="59" ht="15.75" customHeight="1">
      <c r="A59" s="2"/>
    </row>
    <row r="60" ht="15.75" customHeight="1">
      <c r="A60" s="2"/>
    </row>
    <row r="61" ht="15.75" customHeight="1">
      <c r="A61" s="2"/>
    </row>
    <row r="62" ht="15.75" customHeight="1">
      <c r="A62" s="2"/>
    </row>
    <row r="63" ht="15.75" customHeight="1">
      <c r="A63" s="2"/>
    </row>
    <row r="64" ht="15.75" customHeight="1">
      <c r="A64" s="2"/>
    </row>
    <row r="65" ht="15.75" customHeight="1">
      <c r="A65" s="2"/>
    </row>
    <row r="66" ht="15.75" customHeight="1">
      <c r="A66" s="2"/>
    </row>
    <row r="67" ht="15.75" customHeight="1">
      <c r="A67" s="2"/>
    </row>
    <row r="68" ht="15.75" customHeight="1">
      <c r="A68" s="2"/>
    </row>
    <row r="69" ht="15.75" customHeight="1">
      <c r="A69" s="2"/>
    </row>
    <row r="70" ht="15.75" customHeight="1">
      <c r="A70" s="2"/>
    </row>
    <row r="71" ht="15.75" customHeight="1">
      <c r="A71" s="2"/>
    </row>
    <row r="72" ht="15.75" customHeight="1">
      <c r="A72" s="2"/>
    </row>
    <row r="73" ht="15.75" customHeight="1">
      <c r="A73" s="2"/>
    </row>
    <row r="74" ht="15.75" customHeight="1">
      <c r="A74" s="2"/>
    </row>
    <row r="75" ht="15.75" customHeight="1">
      <c r="A75" s="2"/>
    </row>
    <row r="76" ht="15.75" customHeight="1">
      <c r="A76" s="2"/>
    </row>
    <row r="77" ht="15.75" customHeight="1">
      <c r="A77" s="2"/>
    </row>
    <row r="78" ht="15.75" customHeight="1">
      <c r="A78" s="2"/>
    </row>
    <row r="79" ht="15.75" customHeight="1">
      <c r="A79" s="2"/>
    </row>
    <row r="80" ht="15.75" customHeight="1">
      <c r="A80" s="2"/>
    </row>
    <row r="81" ht="15.75" customHeight="1">
      <c r="A81" s="2"/>
    </row>
    <row r="82" ht="15.75" customHeight="1">
      <c r="A82" s="2"/>
    </row>
    <row r="83" ht="15.75" customHeight="1">
      <c r="A83" s="2"/>
    </row>
    <row r="84" ht="15.75" customHeight="1">
      <c r="A84" s="2"/>
    </row>
    <row r="85" ht="15.75" customHeight="1">
      <c r="A85" s="2"/>
    </row>
    <row r="86" ht="15.75" customHeight="1">
      <c r="A86" s="2"/>
    </row>
    <row r="87" ht="15.75" customHeight="1">
      <c r="A87" s="2"/>
    </row>
    <row r="88" ht="15.75" customHeight="1">
      <c r="A88" s="2"/>
    </row>
    <row r="89" ht="15.75" customHeight="1">
      <c r="A89" s="2"/>
    </row>
    <row r="90" ht="15.75" customHeight="1">
      <c r="A90" s="2"/>
    </row>
    <row r="91" ht="15.75" customHeight="1">
      <c r="A91" s="2"/>
    </row>
    <row r="92" ht="15.75" customHeight="1">
      <c r="A92" s="2"/>
    </row>
    <row r="93" ht="15.75" customHeight="1">
      <c r="A93" s="2"/>
    </row>
    <row r="94" ht="15.75" customHeight="1">
      <c r="A94" s="2"/>
    </row>
    <row r="95" ht="15.75" customHeight="1">
      <c r="A95" s="2"/>
    </row>
    <row r="96" ht="15.75" customHeight="1">
      <c r="A96" s="2"/>
    </row>
    <row r="97" ht="15.75" customHeight="1">
      <c r="A97" s="2"/>
    </row>
    <row r="98" ht="15.75" customHeight="1">
      <c r="A98" s="2"/>
    </row>
    <row r="99" ht="15.75" customHeight="1">
      <c r="A99" s="2"/>
    </row>
    <row r="100" ht="15.75" customHeight="1">
      <c r="A100" s="2"/>
    </row>
    <row r="101" ht="15.75" customHeight="1">
      <c r="A101" s="2"/>
    </row>
    <row r="102" ht="15.75" customHeight="1">
      <c r="A102" s="2"/>
    </row>
    <row r="103" ht="15.75" customHeight="1">
      <c r="A103" s="2"/>
    </row>
    <row r="104" ht="15.75" customHeight="1">
      <c r="A104" s="2"/>
    </row>
    <row r="105" ht="15.75" customHeight="1">
      <c r="A105" s="2"/>
    </row>
    <row r="106" ht="15.75" customHeight="1">
      <c r="A106" s="2"/>
    </row>
    <row r="107" ht="15.75" customHeight="1">
      <c r="A107" s="2"/>
    </row>
    <row r="108" ht="15.75" customHeight="1">
      <c r="A108" s="2"/>
    </row>
    <row r="109" ht="15.75" customHeight="1">
      <c r="A109" s="2"/>
    </row>
    <row r="110" ht="15.75" customHeight="1">
      <c r="A110" s="2"/>
    </row>
    <row r="111" ht="15.75" customHeight="1">
      <c r="A111" s="2"/>
    </row>
    <row r="112" ht="15.75" customHeight="1">
      <c r="A112" s="2"/>
    </row>
    <row r="113" ht="15.75" customHeight="1">
      <c r="A113" s="2"/>
    </row>
    <row r="114" ht="15.75" customHeight="1">
      <c r="A114" s="2"/>
    </row>
    <row r="115" ht="15.75" customHeight="1">
      <c r="A115" s="2"/>
    </row>
    <row r="116" ht="15.75" customHeight="1">
      <c r="A116" s="2"/>
    </row>
    <row r="117" ht="15.75" customHeight="1">
      <c r="A117" s="2"/>
    </row>
    <row r="118" ht="15.75" customHeight="1">
      <c r="A118" s="2"/>
    </row>
    <row r="119" ht="15.75" customHeight="1">
      <c r="A119" s="2"/>
    </row>
    <row r="120" ht="15.75" customHeight="1">
      <c r="A120" s="2"/>
    </row>
    <row r="121" ht="15.75" customHeight="1">
      <c r="A121" s="2"/>
    </row>
    <row r="122" ht="15.75" customHeight="1">
      <c r="A122" s="2"/>
    </row>
    <row r="123" ht="15.75" customHeight="1">
      <c r="A123" s="2"/>
    </row>
    <row r="124" ht="15.75" customHeight="1">
      <c r="A124" s="2"/>
    </row>
    <row r="125" ht="15.75" customHeight="1">
      <c r="A125" s="2"/>
    </row>
    <row r="126" ht="15.75" customHeight="1">
      <c r="A126" s="2"/>
    </row>
    <row r="127" ht="15.75" customHeight="1">
      <c r="A127" s="2"/>
    </row>
    <row r="128" ht="15.75" customHeight="1">
      <c r="A128" s="2"/>
    </row>
    <row r="129" ht="15.75" customHeight="1">
      <c r="A129" s="2"/>
    </row>
    <row r="130" ht="15.75" customHeight="1">
      <c r="A130" s="2"/>
    </row>
    <row r="131" ht="15.75" customHeight="1">
      <c r="A131" s="2"/>
    </row>
    <row r="132" ht="15.75" customHeight="1">
      <c r="A132" s="2"/>
    </row>
    <row r="133" ht="15.75" customHeight="1">
      <c r="A133" s="2"/>
    </row>
    <row r="134" ht="15.75" customHeight="1">
      <c r="A134" s="2"/>
    </row>
    <row r="135" ht="15.75" customHeight="1">
      <c r="A135" s="2"/>
    </row>
    <row r="136" ht="15.75" customHeight="1">
      <c r="A136" s="2"/>
    </row>
    <row r="137" ht="15.75" customHeight="1">
      <c r="A137" s="2"/>
    </row>
    <row r="138" ht="15.75" customHeight="1">
      <c r="A138" s="2"/>
    </row>
    <row r="139" ht="15.75" customHeight="1">
      <c r="A139" s="2"/>
    </row>
    <row r="140" ht="15.75" customHeight="1">
      <c r="A140" s="2"/>
    </row>
    <row r="141" ht="15.75" customHeight="1">
      <c r="A141" s="2"/>
    </row>
    <row r="142" ht="15.75" customHeight="1">
      <c r="A142" s="2"/>
    </row>
    <row r="143" ht="15.75" customHeight="1">
      <c r="A143" s="2"/>
    </row>
    <row r="144" ht="15.75" customHeight="1">
      <c r="A144" s="2"/>
    </row>
    <row r="145" ht="15.75" customHeight="1">
      <c r="A145" s="2"/>
    </row>
    <row r="146" ht="15.75" customHeight="1">
      <c r="A146" s="2"/>
    </row>
    <row r="147" ht="15.75" customHeight="1">
      <c r="A147" s="2"/>
    </row>
    <row r="148" ht="15.75" customHeight="1">
      <c r="A148" s="2"/>
    </row>
    <row r="149" ht="15.75" customHeight="1">
      <c r="A149" s="2"/>
    </row>
    <row r="150" ht="15.75" customHeight="1">
      <c r="A150" s="2"/>
    </row>
    <row r="151" ht="15.75" customHeight="1">
      <c r="A151" s="2"/>
    </row>
    <row r="152" ht="15.75" customHeight="1">
      <c r="A152" s="2"/>
    </row>
    <row r="153" ht="15.75" customHeight="1">
      <c r="A153" s="2"/>
    </row>
    <row r="154" ht="15.75" customHeight="1">
      <c r="A154" s="2"/>
    </row>
    <row r="155" ht="15.75" customHeight="1">
      <c r="A155" s="2"/>
    </row>
    <row r="156" ht="15.75" customHeight="1">
      <c r="A156" s="2"/>
    </row>
    <row r="157" ht="15.75" customHeight="1">
      <c r="A157" s="2"/>
    </row>
    <row r="158" ht="15.75" customHeight="1">
      <c r="A158" s="2"/>
    </row>
    <row r="159" ht="15.75" customHeight="1">
      <c r="A159" s="2"/>
    </row>
    <row r="160" ht="15.75" customHeight="1">
      <c r="A160" s="2"/>
    </row>
    <row r="161" ht="15.75" customHeight="1">
      <c r="A161" s="2"/>
    </row>
    <row r="162" ht="15.75" customHeight="1">
      <c r="A162" s="2"/>
    </row>
    <row r="163" ht="15.75" customHeight="1">
      <c r="A163" s="2"/>
    </row>
    <row r="164" ht="15.75" customHeight="1">
      <c r="A164" s="2"/>
    </row>
    <row r="165" ht="15.75" customHeight="1">
      <c r="A165" s="2"/>
    </row>
    <row r="166" ht="15.75" customHeight="1">
      <c r="A166" s="2"/>
    </row>
    <row r="167" ht="15.75" customHeight="1">
      <c r="A167" s="2"/>
    </row>
    <row r="168" ht="15.75" customHeight="1">
      <c r="A168" s="2"/>
    </row>
    <row r="169" ht="15.75" customHeight="1">
      <c r="A169" s="2"/>
    </row>
    <row r="170" ht="15.75" customHeight="1">
      <c r="A170" s="2"/>
    </row>
    <row r="171" ht="15.75" customHeight="1">
      <c r="A171" s="2"/>
    </row>
    <row r="172" ht="15.75" customHeight="1">
      <c r="A172" s="2"/>
    </row>
    <row r="173" ht="15.75" customHeight="1">
      <c r="A173" s="2"/>
    </row>
    <row r="174" ht="15.75" customHeight="1">
      <c r="A174" s="2"/>
    </row>
    <row r="175" ht="15.75" customHeight="1">
      <c r="A175" s="2"/>
    </row>
    <row r="176" ht="15.75" customHeight="1">
      <c r="A176" s="2"/>
    </row>
    <row r="177" ht="15.75" customHeight="1">
      <c r="A177" s="2"/>
    </row>
    <row r="178" ht="15.75" customHeight="1">
      <c r="A178" s="2"/>
    </row>
    <row r="179" ht="15.75" customHeight="1">
      <c r="A179" s="2"/>
    </row>
    <row r="180" ht="15.75" customHeight="1">
      <c r="A180" s="2"/>
    </row>
    <row r="181" ht="15.75" customHeight="1">
      <c r="A181" s="2"/>
    </row>
    <row r="182" ht="15.75" customHeight="1">
      <c r="A182" s="2"/>
    </row>
    <row r="183" ht="15.75" customHeight="1">
      <c r="A183" s="2"/>
    </row>
    <row r="184" ht="15.75" customHeight="1">
      <c r="A184" s="2"/>
    </row>
    <row r="185" ht="15.75" customHeight="1">
      <c r="A185" s="2"/>
    </row>
    <row r="186" ht="15.75" customHeight="1">
      <c r="A186" s="2"/>
    </row>
    <row r="187" ht="15.75" customHeight="1">
      <c r="A187" s="2"/>
    </row>
    <row r="188" ht="15.75" customHeight="1">
      <c r="A188" s="2"/>
    </row>
    <row r="189" ht="15.75" customHeight="1">
      <c r="A189" s="2"/>
    </row>
    <row r="190" ht="15.75" customHeight="1">
      <c r="A190" s="2"/>
    </row>
    <row r="191" ht="15.75" customHeight="1">
      <c r="A191" s="2"/>
    </row>
    <row r="192" ht="15.75" customHeight="1">
      <c r="A192" s="2"/>
    </row>
    <row r="193" ht="15.75" customHeight="1">
      <c r="A193" s="2"/>
    </row>
    <row r="194" ht="15.75" customHeight="1">
      <c r="A194" s="2"/>
    </row>
    <row r="195" ht="15.75" customHeight="1">
      <c r="A195" s="2"/>
    </row>
    <row r="196" ht="15.75" customHeight="1">
      <c r="A196" s="2"/>
    </row>
    <row r="197" ht="15.75" customHeight="1">
      <c r="A197" s="2"/>
    </row>
    <row r="198" ht="15.75" customHeight="1">
      <c r="A198" s="2"/>
    </row>
    <row r="199" ht="15.75" customHeight="1">
      <c r="A199" s="2"/>
    </row>
    <row r="200" ht="15.75" customHeight="1">
      <c r="A200" s="2"/>
    </row>
    <row r="201" ht="15.75" customHeight="1">
      <c r="A201" s="2"/>
    </row>
    <row r="202" ht="15.75" customHeight="1">
      <c r="A202" s="2"/>
    </row>
    <row r="203" ht="15.75" customHeight="1">
      <c r="A203" s="2"/>
    </row>
    <row r="204" ht="15.75" customHeight="1">
      <c r="A204" s="2"/>
    </row>
    <row r="205" ht="15.75" customHeight="1">
      <c r="A205" s="2"/>
    </row>
    <row r="206" ht="15.75" customHeight="1">
      <c r="A206" s="2"/>
    </row>
    <row r="207" ht="15.75" customHeight="1">
      <c r="A207" s="2"/>
    </row>
    <row r="208" ht="15.75" customHeight="1">
      <c r="A208" s="2"/>
    </row>
    <row r="209" ht="15.75" customHeight="1">
      <c r="A209" s="2"/>
    </row>
    <row r="210" ht="15.75" customHeight="1">
      <c r="A210" s="2"/>
    </row>
    <row r="211" ht="15.75" customHeight="1">
      <c r="A211" s="2"/>
    </row>
    <row r="212" ht="15.75" customHeight="1">
      <c r="A212" s="2"/>
    </row>
    <row r="213" ht="15.75" customHeight="1">
      <c r="A213" s="2"/>
    </row>
    <row r="214" ht="15.75" customHeight="1">
      <c r="A214" s="2"/>
    </row>
    <row r="215" ht="15.75" customHeight="1">
      <c r="A215" s="2"/>
    </row>
    <row r="216" ht="15.75" customHeight="1">
      <c r="A216" s="2"/>
    </row>
    <row r="217" ht="15.75" customHeight="1">
      <c r="A217" s="2"/>
    </row>
    <row r="218" ht="15.75" customHeight="1">
      <c r="A218" s="2"/>
    </row>
    <row r="219" ht="15.75" customHeight="1">
      <c r="A219" s="2"/>
    </row>
    <row r="220" ht="15.75" customHeight="1">
      <c r="A220" s="2"/>
    </row>
    <row r="221" ht="15.75" customHeight="1">
      <c r="A221" s="2"/>
    </row>
    <row r="222" ht="15.75" customHeight="1">
      <c r="A222" s="2"/>
    </row>
    <row r="223" ht="15.75" customHeight="1">
      <c r="A223" s="2"/>
    </row>
    <row r="224" ht="15.75" customHeight="1">
      <c r="A224" s="2"/>
    </row>
    <row r="225" ht="15.75" customHeight="1">
      <c r="A225" s="2"/>
    </row>
    <row r="226" ht="15.75" customHeight="1">
      <c r="A226" s="2"/>
    </row>
    <row r="227" ht="15.75" customHeight="1">
      <c r="A227" s="2"/>
    </row>
    <row r="228" ht="15.75" customHeight="1">
      <c r="A228" s="2"/>
    </row>
    <row r="229" ht="15.75" customHeight="1">
      <c r="A229" s="2"/>
    </row>
    <row r="230" ht="15.75" customHeight="1">
      <c r="A230" s="2"/>
    </row>
    <row r="231" ht="15.75" customHeight="1">
      <c r="A231" s="2"/>
    </row>
    <row r="232" ht="15.75" customHeight="1">
      <c r="A232" s="2"/>
    </row>
    <row r="233" ht="15.75" customHeight="1">
      <c r="A233" s="2"/>
    </row>
    <row r="234" ht="15.75" customHeight="1">
      <c r="A234" s="2"/>
    </row>
    <row r="235" ht="15.75" customHeight="1">
      <c r="A235" s="2"/>
    </row>
    <row r="236" ht="15.75" customHeight="1">
      <c r="A236" s="2"/>
    </row>
    <row r="237" ht="15.75" customHeight="1">
      <c r="A237" s="2"/>
    </row>
    <row r="238" ht="15.75" customHeight="1">
      <c r="A238" s="2"/>
    </row>
    <row r="239" ht="15.75" customHeight="1">
      <c r="A239" s="2"/>
    </row>
    <row r="240" ht="15.75" customHeight="1">
      <c r="A240" s="2"/>
    </row>
    <row r="241" ht="15.75" customHeight="1">
      <c r="A241" s="2"/>
    </row>
    <row r="242" ht="15.75" customHeight="1">
      <c r="A242" s="2"/>
    </row>
    <row r="243" ht="15.75" customHeight="1">
      <c r="A243" s="2"/>
    </row>
    <row r="244" ht="15.75" customHeight="1">
      <c r="A244" s="2"/>
    </row>
    <row r="245" ht="15.75" customHeight="1">
      <c r="A245" s="2"/>
    </row>
    <row r="246" ht="15.75" customHeight="1">
      <c r="A246" s="2"/>
    </row>
    <row r="247" ht="15.75" customHeight="1">
      <c r="A247" s="2"/>
    </row>
    <row r="248" ht="15.75" customHeight="1">
      <c r="A248" s="2"/>
    </row>
    <row r="249" ht="15.75" customHeight="1">
      <c r="A249" s="2"/>
    </row>
    <row r="250" ht="15.75" customHeight="1">
      <c r="A250" s="2"/>
    </row>
    <row r="251" ht="15.75" customHeight="1">
      <c r="A251" s="2"/>
    </row>
    <row r="252" ht="15.75" customHeight="1">
      <c r="A252" s="2"/>
    </row>
    <row r="253" ht="15.75" customHeight="1">
      <c r="A253" s="2"/>
    </row>
    <row r="254" ht="15.75" customHeight="1">
      <c r="A254" s="2"/>
    </row>
    <row r="255" ht="15.75" customHeight="1">
      <c r="A255" s="2"/>
    </row>
    <row r="256" ht="15.75" customHeight="1">
      <c r="A256" s="2"/>
    </row>
    <row r="257" ht="15.75" customHeight="1">
      <c r="A257" s="2"/>
    </row>
    <row r="258" ht="15.75" customHeight="1">
      <c r="A258" s="2"/>
    </row>
    <row r="259" ht="15.75" customHeight="1">
      <c r="A259" s="2"/>
    </row>
    <row r="260" ht="15.75" customHeight="1">
      <c r="A260" s="2"/>
    </row>
    <row r="261" ht="15.75" customHeight="1">
      <c r="A261" s="2"/>
    </row>
    <row r="262" ht="15.75" customHeight="1">
      <c r="A262" s="2"/>
    </row>
    <row r="263" ht="15.75" customHeight="1">
      <c r="A263" s="2"/>
    </row>
    <row r="264" ht="15.75" customHeight="1">
      <c r="A264" s="2"/>
    </row>
    <row r="265" ht="15.75" customHeight="1">
      <c r="A265" s="2"/>
    </row>
    <row r="266" ht="15.75" customHeight="1">
      <c r="A266" s="2"/>
    </row>
    <row r="267" ht="15.75" customHeight="1">
      <c r="A267" s="2"/>
    </row>
    <row r="268" ht="15.75" customHeight="1">
      <c r="A268" s="2"/>
    </row>
    <row r="269" ht="15.75" customHeight="1">
      <c r="A269" s="2"/>
    </row>
    <row r="270" ht="15.75" customHeight="1">
      <c r="A270" s="2"/>
    </row>
    <row r="271" ht="15.75" customHeight="1">
      <c r="A271" s="2"/>
    </row>
    <row r="272" ht="15.75" customHeight="1">
      <c r="A272" s="2"/>
    </row>
    <row r="273" ht="15.75" customHeight="1">
      <c r="A273" s="2"/>
    </row>
    <row r="274" ht="15.75" customHeight="1">
      <c r="A274" s="2"/>
    </row>
    <row r="275" ht="15.75" customHeight="1">
      <c r="A275" s="2"/>
    </row>
    <row r="276" ht="15.75" customHeight="1">
      <c r="A276" s="2"/>
    </row>
    <row r="277" ht="15.75" customHeight="1">
      <c r="A277" s="2"/>
    </row>
    <row r="278" ht="15.75" customHeight="1">
      <c r="A278" s="2"/>
    </row>
    <row r="279" ht="15.75" customHeight="1">
      <c r="A279" s="2"/>
    </row>
    <row r="280" ht="15.75" customHeight="1">
      <c r="A280" s="2"/>
    </row>
    <row r="281" ht="15.75" customHeight="1">
      <c r="A281" s="2"/>
    </row>
    <row r="282" ht="15.75" customHeight="1">
      <c r="A282" s="2"/>
    </row>
    <row r="283" ht="15.75" customHeight="1">
      <c r="A283" s="2"/>
    </row>
    <row r="284" ht="15.75" customHeight="1">
      <c r="A284" s="2"/>
    </row>
    <row r="285" ht="15.75" customHeight="1">
      <c r="A285" s="2"/>
    </row>
    <row r="286" ht="15.75" customHeight="1">
      <c r="A286" s="2"/>
    </row>
    <row r="287" ht="15.75" customHeight="1">
      <c r="A287" s="2"/>
    </row>
    <row r="288" ht="15.75" customHeight="1">
      <c r="A288" s="2"/>
    </row>
    <row r="289" ht="15.75" customHeight="1">
      <c r="A289" s="2"/>
    </row>
    <row r="290" ht="15.75" customHeight="1">
      <c r="A290" s="2"/>
    </row>
    <row r="291" ht="15.75" customHeight="1">
      <c r="A291" s="2"/>
    </row>
    <row r="292" ht="15.75" customHeight="1">
      <c r="A292" s="2"/>
    </row>
    <row r="293" ht="15.75" customHeight="1">
      <c r="A293" s="2"/>
    </row>
    <row r="294" ht="15.75" customHeight="1">
      <c r="A294" s="2"/>
    </row>
    <row r="295" ht="15.75" customHeight="1">
      <c r="A295" s="2"/>
    </row>
    <row r="296" ht="15.75" customHeight="1">
      <c r="A296" s="2"/>
    </row>
    <row r="297" ht="15.75" customHeight="1">
      <c r="A297" s="2"/>
    </row>
    <row r="298" ht="15.75" customHeight="1">
      <c r="A298" s="2"/>
    </row>
    <row r="299" ht="15.75" customHeight="1">
      <c r="A299" s="2"/>
    </row>
    <row r="300" ht="15.75" customHeight="1">
      <c r="A300" s="2"/>
    </row>
    <row r="301" ht="15.75" customHeight="1">
      <c r="A301" s="2"/>
    </row>
    <row r="302" ht="15.75" customHeight="1">
      <c r="A302" s="2"/>
    </row>
    <row r="303" ht="15.75" customHeight="1">
      <c r="A303" s="2"/>
    </row>
    <row r="304" ht="15.75" customHeight="1">
      <c r="A304" s="2"/>
    </row>
    <row r="305" ht="15.75" customHeight="1">
      <c r="A305" s="2"/>
    </row>
    <row r="306" ht="15.75" customHeight="1">
      <c r="A306" s="2"/>
    </row>
    <row r="307" ht="15.75" customHeight="1">
      <c r="A307" s="2"/>
    </row>
    <row r="308" ht="15.75" customHeight="1">
      <c r="A308" s="2"/>
    </row>
    <row r="309" ht="15.75" customHeight="1">
      <c r="A309" s="2"/>
    </row>
    <row r="310" ht="15.75" customHeight="1">
      <c r="A310" s="2"/>
    </row>
    <row r="311" ht="15.75" customHeight="1">
      <c r="A311" s="2"/>
    </row>
    <row r="312" ht="15.75" customHeight="1">
      <c r="A312" s="2"/>
    </row>
    <row r="313" ht="15.75" customHeight="1">
      <c r="A313" s="2"/>
    </row>
    <row r="314" ht="15.75" customHeight="1">
      <c r="A314" s="2"/>
    </row>
    <row r="315" ht="15.75" customHeight="1">
      <c r="A315" s="2"/>
    </row>
    <row r="316" ht="15.75" customHeight="1">
      <c r="A316" s="2"/>
    </row>
    <row r="317" ht="15.75" customHeight="1">
      <c r="A317" s="2"/>
    </row>
    <row r="318" ht="15.75" customHeight="1">
      <c r="A318" s="2"/>
    </row>
    <row r="319" ht="15.75" customHeight="1">
      <c r="A319" s="2"/>
    </row>
    <row r="320" ht="15.75" customHeight="1">
      <c r="A320" s="2"/>
    </row>
    <row r="321" ht="15.75" customHeight="1">
      <c r="A321" s="2"/>
    </row>
    <row r="322" ht="15.75" customHeight="1">
      <c r="A322" s="2"/>
    </row>
    <row r="323" ht="15.75" customHeight="1">
      <c r="A323" s="2"/>
    </row>
    <row r="324" ht="15.75" customHeight="1">
      <c r="A324" s="2"/>
    </row>
    <row r="325" ht="15.75" customHeight="1">
      <c r="A325" s="2"/>
    </row>
    <row r="326" ht="15.75" customHeight="1">
      <c r="A326" s="2"/>
    </row>
    <row r="327" ht="15.75" customHeight="1">
      <c r="A327" s="2"/>
    </row>
    <row r="328" ht="15.75" customHeight="1">
      <c r="A328" s="2"/>
    </row>
    <row r="329" ht="15.75" customHeight="1">
      <c r="A329" s="2"/>
    </row>
    <row r="330" ht="15.75" customHeight="1">
      <c r="A330" s="2"/>
    </row>
    <row r="331" ht="15.75" customHeight="1">
      <c r="A331" s="2"/>
    </row>
    <row r="332" ht="15.75" customHeight="1">
      <c r="A332" s="2"/>
    </row>
    <row r="333" ht="15.75" customHeight="1">
      <c r="A333" s="2"/>
    </row>
    <row r="334" ht="15.75" customHeight="1">
      <c r="A334" s="2"/>
    </row>
    <row r="335" ht="15.75" customHeight="1">
      <c r="A335" s="2"/>
    </row>
    <row r="336" ht="15.75" customHeight="1">
      <c r="A336" s="2"/>
    </row>
    <row r="337" ht="15.75" customHeight="1">
      <c r="A337" s="2"/>
    </row>
    <row r="338" ht="15.75" customHeight="1">
      <c r="A338" s="2"/>
    </row>
    <row r="339" ht="15.75" customHeight="1">
      <c r="A339" s="2"/>
    </row>
    <row r="340" ht="15.75" customHeight="1">
      <c r="A340" s="2"/>
    </row>
    <row r="341" ht="15.75" customHeight="1">
      <c r="A341" s="2"/>
    </row>
    <row r="342" ht="15.75" customHeight="1">
      <c r="A342" s="2"/>
    </row>
    <row r="343" ht="15.75" customHeight="1">
      <c r="A343" s="2"/>
    </row>
    <row r="344" ht="15.75" customHeight="1">
      <c r="A344" s="2"/>
    </row>
    <row r="345" ht="15.75" customHeight="1">
      <c r="A345" s="2"/>
    </row>
    <row r="346" ht="15.75" customHeight="1">
      <c r="A346" s="2"/>
    </row>
    <row r="347" ht="15.75" customHeight="1">
      <c r="A347" s="2"/>
    </row>
    <row r="348" ht="15.75" customHeight="1">
      <c r="A348" s="2"/>
    </row>
    <row r="349" ht="15.75" customHeight="1">
      <c r="A349" s="2"/>
    </row>
    <row r="350" ht="15.75" customHeight="1">
      <c r="A350" s="2"/>
    </row>
    <row r="351" ht="15.75" customHeight="1">
      <c r="A351" s="2"/>
    </row>
    <row r="352" ht="15.75" customHeight="1">
      <c r="A352" s="2"/>
    </row>
    <row r="353" ht="15.75" customHeight="1">
      <c r="A353" s="2"/>
    </row>
    <row r="354" ht="15.75" customHeight="1">
      <c r="A354" s="2"/>
    </row>
    <row r="355" ht="15.75" customHeight="1">
      <c r="A355" s="2"/>
    </row>
    <row r="356" ht="15.75" customHeight="1">
      <c r="A356" s="2"/>
    </row>
    <row r="357" ht="15.75" customHeight="1">
      <c r="A357" s="2"/>
    </row>
    <row r="358" ht="15.75" customHeight="1">
      <c r="A358" s="2"/>
    </row>
    <row r="359" ht="15.75" customHeight="1">
      <c r="A359" s="2"/>
    </row>
    <row r="360" ht="15.75" customHeight="1">
      <c r="A360" s="2"/>
    </row>
    <row r="361" ht="15.75" customHeight="1">
      <c r="A361" s="2"/>
    </row>
    <row r="362" ht="15.75" customHeight="1">
      <c r="A362" s="2"/>
    </row>
    <row r="363" ht="15.75" customHeight="1">
      <c r="A363" s="2"/>
    </row>
    <row r="364" ht="15.75" customHeight="1">
      <c r="A364" s="2"/>
    </row>
    <row r="365" ht="15.75" customHeight="1">
      <c r="A365" s="2"/>
    </row>
    <row r="366" ht="15.75" customHeight="1">
      <c r="A366" s="2"/>
    </row>
    <row r="367" ht="15.75" customHeight="1">
      <c r="A367" s="2"/>
    </row>
    <row r="368" ht="15.75" customHeight="1">
      <c r="A368" s="2"/>
    </row>
    <row r="369" ht="15.75" customHeight="1">
      <c r="A369" s="2"/>
    </row>
    <row r="370" ht="15.75" customHeight="1">
      <c r="A370" s="2"/>
    </row>
    <row r="371" ht="15.75" customHeight="1">
      <c r="A371" s="2"/>
    </row>
    <row r="372" ht="15.75" customHeight="1">
      <c r="A372" s="2"/>
    </row>
    <row r="373" ht="15.75" customHeight="1">
      <c r="A373" s="2"/>
    </row>
    <row r="374" ht="15.75" customHeight="1">
      <c r="A374" s="2"/>
    </row>
    <row r="375" ht="15.75" customHeight="1">
      <c r="A375" s="2"/>
    </row>
    <row r="376" ht="15.75" customHeight="1">
      <c r="A376" s="2"/>
    </row>
    <row r="377" ht="15.75" customHeight="1">
      <c r="A377" s="2"/>
    </row>
    <row r="378" ht="15.75" customHeight="1">
      <c r="A378" s="2"/>
    </row>
    <row r="379" ht="15.75" customHeight="1">
      <c r="A379" s="2"/>
    </row>
    <row r="380" ht="15.75" customHeight="1">
      <c r="A380" s="2"/>
    </row>
    <row r="381" ht="15.75" customHeight="1">
      <c r="A381" s="2"/>
    </row>
    <row r="382" ht="15.75" customHeight="1">
      <c r="A382" s="2"/>
    </row>
    <row r="383" ht="15.75" customHeight="1">
      <c r="A383" s="2"/>
    </row>
    <row r="384" ht="15.75" customHeight="1">
      <c r="A384" s="2"/>
    </row>
    <row r="385" ht="15.75" customHeight="1">
      <c r="A385" s="2"/>
    </row>
    <row r="386" ht="15.75" customHeight="1">
      <c r="A386" s="2"/>
    </row>
    <row r="387" ht="15.75" customHeight="1">
      <c r="A387" s="2"/>
    </row>
    <row r="388" ht="15.75" customHeight="1">
      <c r="A388" s="2"/>
    </row>
    <row r="389" ht="15.75" customHeight="1">
      <c r="A389" s="2"/>
    </row>
    <row r="390" ht="15.75" customHeight="1">
      <c r="A390" s="2"/>
    </row>
    <row r="391" ht="15.75" customHeight="1">
      <c r="A391" s="2"/>
    </row>
    <row r="392" ht="15.75" customHeight="1">
      <c r="A392" s="2"/>
    </row>
    <row r="393" ht="15.75" customHeight="1">
      <c r="A393" s="2"/>
    </row>
    <row r="394" ht="15.75" customHeight="1">
      <c r="A394" s="2"/>
    </row>
    <row r="395" ht="15.75" customHeight="1">
      <c r="A395" s="2"/>
    </row>
    <row r="396" ht="15.75" customHeight="1">
      <c r="A396" s="2"/>
    </row>
    <row r="397" ht="15.75" customHeight="1">
      <c r="A397" s="2"/>
    </row>
    <row r="398" ht="15.75" customHeight="1">
      <c r="A398" s="2"/>
    </row>
    <row r="399" ht="15.75" customHeight="1">
      <c r="A399" s="2"/>
    </row>
    <row r="400" ht="15.75" customHeight="1">
      <c r="A400" s="2"/>
    </row>
    <row r="401" ht="15.75" customHeight="1">
      <c r="A401" s="2"/>
    </row>
    <row r="402" ht="15.75" customHeight="1">
      <c r="A402" s="2"/>
    </row>
    <row r="403" ht="15.75" customHeight="1">
      <c r="A403" s="2"/>
    </row>
    <row r="404" ht="15.75" customHeight="1">
      <c r="A404" s="2"/>
    </row>
    <row r="405" ht="15.75" customHeight="1">
      <c r="A405" s="2"/>
    </row>
    <row r="406" ht="15.75" customHeight="1">
      <c r="A406" s="2"/>
    </row>
    <row r="407" ht="15.75" customHeight="1">
      <c r="A407" s="2"/>
    </row>
    <row r="408" ht="15.75" customHeight="1">
      <c r="A408" s="2"/>
    </row>
    <row r="409" ht="15.75" customHeight="1">
      <c r="A409" s="2"/>
    </row>
    <row r="410" ht="15.75" customHeight="1">
      <c r="A410" s="2"/>
    </row>
    <row r="411" ht="15.75" customHeight="1">
      <c r="A411" s="2"/>
    </row>
    <row r="412" ht="15.75" customHeight="1">
      <c r="A412" s="2"/>
    </row>
    <row r="413" ht="15.75" customHeight="1">
      <c r="A413" s="2"/>
    </row>
    <row r="414" ht="15.75" customHeight="1">
      <c r="A414" s="2"/>
    </row>
    <row r="415" ht="15.75" customHeight="1">
      <c r="A415" s="2"/>
    </row>
    <row r="416" ht="15.75" customHeight="1">
      <c r="A416" s="2"/>
    </row>
    <row r="417" ht="15.75" customHeight="1">
      <c r="A417" s="2"/>
    </row>
    <row r="418" ht="15.75" customHeight="1">
      <c r="A418" s="2"/>
    </row>
    <row r="419" ht="15.75" customHeight="1">
      <c r="A419" s="2"/>
    </row>
    <row r="420" ht="15.75" customHeight="1">
      <c r="A420" s="2"/>
    </row>
    <row r="421" ht="15.75" customHeight="1">
      <c r="A421" s="2"/>
    </row>
    <row r="422" ht="15.75" customHeight="1">
      <c r="A422" s="2"/>
    </row>
    <row r="423" ht="15.75" customHeight="1">
      <c r="A423" s="2"/>
    </row>
    <row r="424" ht="15.75" customHeight="1">
      <c r="A424" s="2"/>
    </row>
    <row r="425" ht="15.75" customHeight="1">
      <c r="A425" s="2"/>
    </row>
    <row r="426" ht="15.75" customHeight="1">
      <c r="A426" s="2"/>
    </row>
    <row r="427" ht="15.75" customHeight="1">
      <c r="A427" s="2"/>
    </row>
    <row r="428" ht="15.75" customHeight="1">
      <c r="A428" s="2"/>
    </row>
    <row r="429" ht="15.75" customHeight="1">
      <c r="A429" s="2"/>
    </row>
    <row r="430" ht="15.75" customHeight="1">
      <c r="A430" s="2"/>
    </row>
    <row r="431" ht="15.75" customHeight="1">
      <c r="A431" s="2"/>
    </row>
    <row r="432" ht="15.75" customHeight="1">
      <c r="A432" s="2"/>
    </row>
    <row r="433" ht="15.75" customHeight="1">
      <c r="A433" s="2"/>
    </row>
    <row r="434" ht="15.75" customHeight="1">
      <c r="A434" s="2"/>
    </row>
    <row r="435" ht="15.75" customHeight="1">
      <c r="A435" s="2"/>
    </row>
    <row r="436" ht="15.75" customHeight="1">
      <c r="A436" s="2"/>
    </row>
    <row r="437" ht="15.75" customHeight="1">
      <c r="A437" s="2"/>
    </row>
    <row r="438" ht="15.75" customHeight="1">
      <c r="A438" s="2"/>
    </row>
    <row r="439" ht="15.75" customHeight="1">
      <c r="A439" s="2"/>
    </row>
    <row r="440" ht="15.75" customHeight="1">
      <c r="A440" s="2"/>
    </row>
    <row r="441" ht="15.75" customHeight="1">
      <c r="A441" s="2"/>
    </row>
    <row r="442" ht="15.75" customHeight="1">
      <c r="A442" s="2"/>
    </row>
    <row r="443" ht="15.75" customHeight="1">
      <c r="A443" s="2"/>
    </row>
    <row r="444" ht="15.75" customHeight="1">
      <c r="A444" s="2"/>
    </row>
    <row r="445" ht="15.75" customHeight="1">
      <c r="A445" s="2"/>
    </row>
    <row r="446" ht="15.75" customHeight="1">
      <c r="A446" s="2"/>
    </row>
    <row r="447" ht="15.75" customHeight="1">
      <c r="A447" s="2"/>
    </row>
    <row r="448" ht="15.75" customHeight="1">
      <c r="A448" s="2"/>
    </row>
    <row r="449" ht="15.75" customHeight="1">
      <c r="A449" s="2"/>
    </row>
    <row r="450" ht="15.75" customHeight="1">
      <c r="A450" s="2"/>
    </row>
    <row r="451" ht="15.75" customHeight="1">
      <c r="A451" s="2"/>
    </row>
    <row r="452" ht="15.75" customHeight="1">
      <c r="A452" s="2"/>
    </row>
    <row r="453" ht="15.75" customHeight="1">
      <c r="A453" s="2"/>
    </row>
    <row r="454" ht="15.75" customHeight="1">
      <c r="A454" s="2"/>
    </row>
    <row r="455" ht="15.75" customHeight="1">
      <c r="A455" s="2"/>
    </row>
    <row r="456" ht="15.75" customHeight="1">
      <c r="A456" s="2"/>
    </row>
    <row r="457" ht="15.75" customHeight="1">
      <c r="A457" s="2"/>
    </row>
    <row r="458" ht="15.75" customHeight="1">
      <c r="A458" s="2"/>
    </row>
    <row r="459" ht="15.75" customHeight="1">
      <c r="A459" s="2"/>
    </row>
    <row r="460" ht="15.75" customHeight="1">
      <c r="A460" s="2"/>
    </row>
    <row r="461" ht="15.75" customHeight="1">
      <c r="A461" s="2"/>
    </row>
    <row r="462" ht="15.75" customHeight="1">
      <c r="A462" s="2"/>
    </row>
    <row r="463" ht="15.75" customHeight="1">
      <c r="A463" s="2"/>
    </row>
    <row r="464" ht="15.75" customHeight="1">
      <c r="A464" s="2"/>
    </row>
    <row r="465" ht="15.75" customHeight="1">
      <c r="A465" s="2"/>
    </row>
    <row r="466" ht="15.75" customHeight="1">
      <c r="A466" s="2"/>
    </row>
    <row r="467" ht="15.75" customHeight="1">
      <c r="A467" s="2"/>
    </row>
    <row r="468" ht="15.75" customHeight="1">
      <c r="A468" s="2"/>
    </row>
    <row r="469" ht="15.75" customHeight="1">
      <c r="A469" s="2"/>
    </row>
    <row r="470" ht="15.75" customHeight="1">
      <c r="A470" s="2"/>
    </row>
    <row r="471" ht="15.75" customHeight="1">
      <c r="A471" s="2"/>
    </row>
    <row r="472" ht="15.75" customHeight="1">
      <c r="A472" s="2"/>
    </row>
    <row r="473" ht="15.75" customHeight="1">
      <c r="A473" s="2"/>
    </row>
    <row r="474" ht="15.75" customHeight="1">
      <c r="A474" s="2"/>
    </row>
    <row r="475" ht="15.75" customHeight="1">
      <c r="A475" s="2"/>
    </row>
    <row r="476" ht="15.75" customHeight="1">
      <c r="A476" s="2"/>
    </row>
    <row r="477" ht="15.75" customHeight="1">
      <c r="A477" s="2"/>
    </row>
    <row r="478" ht="15.75" customHeight="1">
      <c r="A478" s="2"/>
    </row>
    <row r="479" ht="15.75" customHeight="1">
      <c r="A479" s="2"/>
    </row>
    <row r="480" ht="15.75" customHeight="1">
      <c r="A480" s="2"/>
    </row>
    <row r="481" ht="15.75" customHeight="1">
      <c r="A481" s="2"/>
    </row>
    <row r="482" ht="15.75" customHeight="1">
      <c r="A482" s="2"/>
    </row>
    <row r="483" ht="15.75" customHeight="1">
      <c r="A483" s="2"/>
    </row>
    <row r="484" ht="15.75" customHeight="1">
      <c r="A484" s="2"/>
    </row>
    <row r="485" ht="15.75" customHeight="1">
      <c r="A485" s="2"/>
    </row>
    <row r="486" ht="15.75" customHeight="1">
      <c r="A486" s="2"/>
    </row>
    <row r="487" ht="15.75" customHeight="1">
      <c r="A487" s="2"/>
    </row>
    <row r="488" ht="15.75" customHeight="1">
      <c r="A488" s="2"/>
    </row>
    <row r="489" ht="15.75" customHeight="1">
      <c r="A489" s="2"/>
    </row>
    <row r="490" ht="15.75" customHeight="1">
      <c r="A490" s="2"/>
    </row>
    <row r="491" ht="15.75" customHeight="1">
      <c r="A491" s="2"/>
    </row>
    <row r="492" ht="15.75" customHeight="1">
      <c r="A492" s="2"/>
    </row>
    <row r="493" ht="15.75" customHeight="1">
      <c r="A493" s="2"/>
    </row>
    <row r="494" ht="15.75" customHeight="1">
      <c r="A494" s="2"/>
    </row>
    <row r="495" ht="15.75" customHeight="1">
      <c r="A495" s="2"/>
    </row>
    <row r="496" ht="15.75" customHeight="1">
      <c r="A496" s="2"/>
    </row>
    <row r="497" ht="15.75" customHeight="1">
      <c r="A497" s="2"/>
    </row>
    <row r="498" ht="15.75" customHeight="1">
      <c r="A498" s="2"/>
    </row>
    <row r="499" ht="15.75" customHeight="1">
      <c r="A499" s="2"/>
    </row>
    <row r="500" ht="15.75" customHeight="1">
      <c r="A500" s="2"/>
    </row>
    <row r="501" ht="15.75" customHeight="1">
      <c r="A501" s="2"/>
    </row>
    <row r="502" ht="15.75" customHeight="1">
      <c r="A502" s="2"/>
    </row>
    <row r="503" ht="15.75" customHeight="1">
      <c r="A503" s="2"/>
    </row>
    <row r="504" ht="15.75" customHeight="1">
      <c r="A504" s="2"/>
    </row>
    <row r="505" ht="15.75" customHeight="1">
      <c r="A505" s="2"/>
    </row>
    <row r="506" ht="15.75" customHeight="1">
      <c r="A506" s="2"/>
    </row>
    <row r="507" ht="15.75" customHeight="1">
      <c r="A507" s="2"/>
    </row>
    <row r="508" ht="15.75" customHeight="1">
      <c r="A508" s="2"/>
    </row>
    <row r="509" ht="15.75" customHeight="1">
      <c r="A509" s="2"/>
    </row>
    <row r="510" ht="15.75" customHeight="1">
      <c r="A510" s="2"/>
    </row>
    <row r="511" ht="15.75" customHeight="1">
      <c r="A511" s="2"/>
    </row>
    <row r="512" ht="15.75" customHeight="1">
      <c r="A512" s="2"/>
    </row>
    <row r="513" ht="15.75" customHeight="1">
      <c r="A513" s="2"/>
    </row>
    <row r="514" ht="15.75" customHeight="1">
      <c r="A514" s="2"/>
    </row>
    <row r="515" ht="15.75" customHeight="1">
      <c r="A515" s="2"/>
    </row>
    <row r="516" ht="15.75" customHeight="1">
      <c r="A516" s="2"/>
    </row>
    <row r="517" ht="15.75" customHeight="1">
      <c r="A517" s="2"/>
    </row>
    <row r="518" ht="15.75" customHeight="1">
      <c r="A518" s="2"/>
    </row>
    <row r="519" ht="15.75" customHeight="1">
      <c r="A519" s="2"/>
    </row>
    <row r="520" ht="15.75" customHeight="1">
      <c r="A520" s="2"/>
    </row>
    <row r="521" ht="15.75" customHeight="1">
      <c r="A521" s="2"/>
    </row>
    <row r="522" ht="15.75" customHeight="1">
      <c r="A522" s="2"/>
    </row>
    <row r="523" ht="15.75" customHeight="1">
      <c r="A523" s="2"/>
    </row>
    <row r="524" ht="15.75" customHeight="1">
      <c r="A524" s="2"/>
    </row>
    <row r="525" ht="15.75" customHeight="1">
      <c r="A525" s="2"/>
    </row>
    <row r="526" ht="15.75" customHeight="1">
      <c r="A526" s="2"/>
    </row>
    <row r="527" ht="15.75" customHeight="1">
      <c r="A527" s="2"/>
    </row>
    <row r="528" ht="15.75" customHeight="1">
      <c r="A528" s="2"/>
    </row>
    <row r="529" ht="15.75" customHeight="1">
      <c r="A529" s="2"/>
    </row>
    <row r="530" ht="15.75" customHeight="1">
      <c r="A530" s="2"/>
    </row>
    <row r="531" ht="15.75" customHeight="1">
      <c r="A531" s="2"/>
    </row>
    <row r="532" ht="15.75" customHeight="1">
      <c r="A532" s="2"/>
    </row>
    <row r="533" ht="15.75" customHeight="1">
      <c r="A533" s="2"/>
    </row>
    <row r="534" ht="15.75" customHeight="1">
      <c r="A534" s="2"/>
    </row>
    <row r="535" ht="15.75" customHeight="1">
      <c r="A535" s="2"/>
    </row>
    <row r="536" ht="15.75" customHeight="1">
      <c r="A536" s="2"/>
    </row>
    <row r="537" ht="15.75" customHeight="1">
      <c r="A537" s="2"/>
    </row>
    <row r="538" ht="15.75" customHeight="1">
      <c r="A538" s="2"/>
    </row>
    <row r="539" ht="15.75" customHeight="1">
      <c r="A539" s="2"/>
    </row>
    <row r="540" ht="15.75" customHeight="1">
      <c r="A540" s="2"/>
    </row>
    <row r="541" ht="15.75" customHeight="1">
      <c r="A541" s="2"/>
    </row>
    <row r="542" ht="15.75" customHeight="1">
      <c r="A542" s="2"/>
    </row>
    <row r="543" ht="15.75" customHeight="1">
      <c r="A543" s="2"/>
    </row>
    <row r="544" ht="15.75" customHeight="1">
      <c r="A544" s="2"/>
    </row>
    <row r="545" ht="15.75" customHeight="1">
      <c r="A545" s="2"/>
    </row>
    <row r="546" ht="15.75" customHeight="1">
      <c r="A546" s="2"/>
    </row>
    <row r="547" ht="15.75" customHeight="1">
      <c r="A547" s="2"/>
    </row>
    <row r="548" ht="15.75" customHeight="1">
      <c r="A548" s="2"/>
    </row>
    <row r="549" ht="15.75" customHeight="1">
      <c r="A549" s="2"/>
    </row>
    <row r="550" ht="15.75" customHeight="1">
      <c r="A550" s="2"/>
    </row>
    <row r="551" ht="15.75" customHeight="1">
      <c r="A551" s="2"/>
    </row>
    <row r="552" ht="15.75" customHeight="1">
      <c r="A552" s="2"/>
    </row>
    <row r="553" ht="15.75" customHeight="1">
      <c r="A553" s="2"/>
    </row>
    <row r="554" ht="15.75" customHeight="1">
      <c r="A554" s="2"/>
    </row>
    <row r="555" ht="15.75" customHeight="1">
      <c r="A555" s="2"/>
    </row>
    <row r="556" ht="15.75" customHeight="1">
      <c r="A556" s="2"/>
    </row>
    <row r="557" ht="15.75" customHeight="1">
      <c r="A557" s="2"/>
    </row>
    <row r="558" ht="15.75" customHeight="1">
      <c r="A558" s="2"/>
    </row>
    <row r="559" ht="15.75" customHeight="1">
      <c r="A559" s="2"/>
    </row>
    <row r="560" ht="15.75" customHeight="1">
      <c r="A560" s="2"/>
    </row>
    <row r="561" ht="15.75" customHeight="1">
      <c r="A561" s="2"/>
    </row>
    <row r="562" ht="15.75" customHeight="1">
      <c r="A562" s="2"/>
    </row>
    <row r="563" ht="15.75" customHeight="1">
      <c r="A563" s="2"/>
    </row>
    <row r="564" ht="15.75" customHeight="1">
      <c r="A564" s="2"/>
    </row>
    <row r="565" ht="15.75" customHeight="1">
      <c r="A565" s="2"/>
    </row>
    <row r="566" ht="15.75" customHeight="1">
      <c r="A566" s="2"/>
    </row>
    <row r="567" ht="15.75" customHeight="1">
      <c r="A567" s="2"/>
    </row>
    <row r="568" ht="15.75" customHeight="1">
      <c r="A568" s="2"/>
    </row>
    <row r="569" ht="15.75" customHeight="1">
      <c r="A569" s="2"/>
    </row>
    <row r="570" ht="15.75" customHeight="1">
      <c r="A570" s="2"/>
    </row>
    <row r="571" ht="15.75" customHeight="1">
      <c r="A571" s="2"/>
    </row>
    <row r="572" ht="15.75" customHeight="1">
      <c r="A572" s="2"/>
    </row>
    <row r="573" ht="15.75" customHeight="1">
      <c r="A573" s="2"/>
    </row>
    <row r="574" ht="15.75" customHeight="1">
      <c r="A574" s="2"/>
    </row>
    <row r="575" ht="15.75" customHeight="1">
      <c r="A575" s="2"/>
    </row>
    <row r="576" ht="15.75" customHeight="1">
      <c r="A576" s="2"/>
    </row>
    <row r="577" ht="15.75" customHeight="1">
      <c r="A577" s="2"/>
    </row>
    <row r="578" ht="15.75" customHeight="1">
      <c r="A578" s="2"/>
    </row>
    <row r="579" ht="15.75" customHeight="1">
      <c r="A579" s="2"/>
    </row>
    <row r="580" ht="15.75" customHeight="1">
      <c r="A580" s="2"/>
    </row>
    <row r="581" ht="15.75" customHeight="1">
      <c r="A581" s="2"/>
    </row>
    <row r="582" ht="15.75" customHeight="1">
      <c r="A582" s="2"/>
    </row>
    <row r="583" ht="15.75" customHeight="1">
      <c r="A583" s="2"/>
    </row>
    <row r="584" ht="15.75" customHeight="1">
      <c r="A584" s="2"/>
    </row>
    <row r="585" ht="15.75" customHeight="1">
      <c r="A585" s="2"/>
    </row>
    <row r="586" ht="15.75" customHeight="1">
      <c r="A586" s="2"/>
    </row>
    <row r="587" ht="15.75" customHeight="1">
      <c r="A587" s="2"/>
    </row>
    <row r="588" ht="15.75" customHeight="1">
      <c r="A588" s="2"/>
    </row>
    <row r="589" ht="15.75" customHeight="1">
      <c r="A589" s="2"/>
    </row>
    <row r="590" ht="15.75" customHeight="1">
      <c r="A590" s="2"/>
    </row>
    <row r="591" ht="15.75" customHeight="1">
      <c r="A591" s="2"/>
    </row>
    <row r="592" ht="15.75" customHeight="1">
      <c r="A592" s="2"/>
    </row>
    <row r="593" ht="15.75" customHeight="1">
      <c r="A593" s="2"/>
    </row>
    <row r="594" ht="15.75" customHeight="1">
      <c r="A594" s="2"/>
    </row>
    <row r="595" ht="15.75" customHeight="1">
      <c r="A595" s="2"/>
    </row>
    <row r="596" ht="15.75" customHeight="1">
      <c r="A596" s="2"/>
    </row>
    <row r="597" ht="15.75" customHeight="1">
      <c r="A597" s="2"/>
    </row>
    <row r="598" ht="15.75" customHeight="1">
      <c r="A598" s="2"/>
    </row>
    <row r="599" ht="15.75" customHeight="1">
      <c r="A599" s="2"/>
    </row>
    <row r="600" ht="15.75" customHeight="1">
      <c r="A600" s="2"/>
    </row>
    <row r="601" ht="15.75" customHeight="1">
      <c r="A601" s="2"/>
    </row>
    <row r="602" ht="15.75" customHeight="1">
      <c r="A602" s="2"/>
    </row>
    <row r="603" ht="15.75" customHeight="1">
      <c r="A603" s="2"/>
    </row>
    <row r="604" ht="15.75" customHeight="1">
      <c r="A604" s="2"/>
    </row>
    <row r="605" ht="15.75" customHeight="1">
      <c r="A605" s="2"/>
    </row>
    <row r="606" ht="15.75" customHeight="1">
      <c r="A606" s="2"/>
    </row>
    <row r="607" ht="15.75" customHeight="1">
      <c r="A607" s="2"/>
    </row>
    <row r="608" ht="15.75" customHeight="1">
      <c r="A608" s="2"/>
    </row>
    <row r="609" ht="15.75" customHeight="1">
      <c r="A609" s="2"/>
    </row>
    <row r="610" ht="15.75" customHeight="1">
      <c r="A610" s="2"/>
    </row>
    <row r="611" ht="15.75" customHeight="1">
      <c r="A611" s="2"/>
    </row>
    <row r="612" ht="15.75" customHeight="1">
      <c r="A612" s="2"/>
    </row>
    <row r="613" ht="15.75" customHeight="1">
      <c r="A613" s="2"/>
    </row>
    <row r="614" ht="15.75" customHeight="1">
      <c r="A614" s="2"/>
    </row>
    <row r="615" ht="15.75" customHeight="1">
      <c r="A615" s="2"/>
    </row>
    <row r="616" ht="15.75" customHeight="1">
      <c r="A616" s="2"/>
    </row>
    <row r="617" ht="15.75" customHeight="1">
      <c r="A617" s="2"/>
    </row>
    <row r="618" ht="15.75" customHeight="1">
      <c r="A618" s="2"/>
    </row>
    <row r="619" ht="15.75" customHeight="1">
      <c r="A619" s="2"/>
    </row>
    <row r="620" ht="15.75" customHeight="1">
      <c r="A620" s="2"/>
    </row>
    <row r="621" ht="15.75" customHeight="1">
      <c r="A621" s="2"/>
    </row>
    <row r="622" ht="15.75" customHeight="1">
      <c r="A622" s="2"/>
    </row>
    <row r="623" ht="15.75" customHeight="1">
      <c r="A623" s="2"/>
    </row>
    <row r="624" ht="15.75" customHeight="1">
      <c r="A624" s="2"/>
    </row>
    <row r="625" ht="15.75" customHeight="1">
      <c r="A625" s="2"/>
    </row>
    <row r="626" ht="15.75" customHeight="1">
      <c r="A626" s="2"/>
    </row>
    <row r="627" ht="15.75" customHeight="1">
      <c r="A627" s="2"/>
    </row>
    <row r="628" ht="15.75" customHeight="1">
      <c r="A628" s="2"/>
    </row>
    <row r="629" ht="15.75" customHeight="1">
      <c r="A629" s="2"/>
    </row>
    <row r="630" ht="15.75" customHeight="1">
      <c r="A630" s="2"/>
    </row>
    <row r="631" ht="15.75" customHeight="1">
      <c r="A631" s="2"/>
    </row>
    <row r="632" ht="15.75" customHeight="1">
      <c r="A632" s="2"/>
    </row>
    <row r="633" ht="15.75" customHeight="1">
      <c r="A633" s="2"/>
    </row>
    <row r="634" ht="15.75" customHeight="1">
      <c r="A634" s="2"/>
    </row>
    <row r="635" ht="15.75" customHeight="1">
      <c r="A635" s="2"/>
    </row>
    <row r="636" ht="15.75" customHeight="1">
      <c r="A636" s="2"/>
    </row>
    <row r="637" ht="15.75" customHeight="1">
      <c r="A637" s="2"/>
    </row>
    <row r="638" ht="15.75" customHeight="1">
      <c r="A638" s="2"/>
    </row>
    <row r="639" ht="15.75" customHeight="1">
      <c r="A639" s="2"/>
    </row>
    <row r="640" ht="15.75" customHeight="1">
      <c r="A640" s="2"/>
    </row>
    <row r="641" ht="15.75" customHeight="1">
      <c r="A641" s="2"/>
    </row>
    <row r="642" ht="15.75" customHeight="1">
      <c r="A642" s="2"/>
    </row>
    <row r="643" ht="15.75" customHeight="1">
      <c r="A643" s="2"/>
    </row>
    <row r="644" ht="15.75" customHeight="1">
      <c r="A644" s="2"/>
    </row>
    <row r="645" ht="15.75" customHeight="1">
      <c r="A645" s="2"/>
    </row>
    <row r="646" ht="15.75" customHeight="1">
      <c r="A646" s="2"/>
    </row>
    <row r="647" ht="15.75" customHeight="1">
      <c r="A647" s="2"/>
    </row>
    <row r="648" ht="15.75" customHeight="1">
      <c r="A648" s="2"/>
    </row>
    <row r="649" ht="15.75" customHeight="1">
      <c r="A649" s="2"/>
    </row>
    <row r="650" ht="15.75" customHeight="1">
      <c r="A650" s="2"/>
    </row>
    <row r="651" ht="15.75" customHeight="1">
      <c r="A651" s="2"/>
    </row>
    <row r="652" ht="15.75" customHeight="1">
      <c r="A652" s="2"/>
    </row>
    <row r="653" ht="15.75" customHeight="1">
      <c r="A653" s="2"/>
    </row>
    <row r="654" ht="15.75" customHeight="1">
      <c r="A654" s="2"/>
    </row>
    <row r="655" ht="15.75" customHeight="1">
      <c r="A655" s="2"/>
    </row>
    <row r="656" ht="15.75" customHeight="1">
      <c r="A656" s="2"/>
    </row>
    <row r="657" ht="15.75" customHeight="1">
      <c r="A657" s="2"/>
    </row>
    <row r="658" ht="15.75" customHeight="1">
      <c r="A658" s="2"/>
    </row>
    <row r="659" ht="15.75" customHeight="1">
      <c r="A659" s="2"/>
    </row>
    <row r="660" ht="15.75" customHeight="1">
      <c r="A660" s="2"/>
    </row>
    <row r="661" ht="15.75" customHeight="1">
      <c r="A661" s="2"/>
    </row>
    <row r="662" ht="15.75" customHeight="1">
      <c r="A662" s="2"/>
    </row>
    <row r="663" ht="15.75" customHeight="1">
      <c r="A663" s="2"/>
    </row>
    <row r="664" ht="15.75" customHeight="1">
      <c r="A664" s="2"/>
    </row>
    <row r="665" ht="15.75" customHeight="1">
      <c r="A665" s="2"/>
    </row>
    <row r="666" ht="15.75" customHeight="1">
      <c r="A666" s="2"/>
    </row>
    <row r="667" ht="15.75" customHeight="1">
      <c r="A667" s="2"/>
    </row>
    <row r="668" ht="15.75" customHeight="1">
      <c r="A668" s="2"/>
    </row>
    <row r="669" ht="15.75" customHeight="1">
      <c r="A669" s="2"/>
    </row>
    <row r="670" ht="15.75" customHeight="1">
      <c r="A670" s="2"/>
    </row>
    <row r="671" ht="15.75" customHeight="1">
      <c r="A671" s="2"/>
    </row>
    <row r="672" ht="15.75" customHeight="1">
      <c r="A672" s="2"/>
    </row>
    <row r="673" ht="15.75" customHeight="1">
      <c r="A673" s="2"/>
    </row>
    <row r="674" ht="15.75" customHeight="1">
      <c r="A674" s="2"/>
    </row>
    <row r="675" ht="15.75" customHeight="1">
      <c r="A675" s="2"/>
    </row>
    <row r="676" ht="15.75" customHeight="1">
      <c r="A676" s="2"/>
    </row>
    <row r="677" ht="15.75" customHeight="1">
      <c r="A677" s="2"/>
    </row>
    <row r="678" ht="15.75" customHeight="1">
      <c r="A678" s="2"/>
    </row>
    <row r="679" ht="15.75" customHeight="1">
      <c r="A679" s="2"/>
    </row>
    <row r="680" ht="15.75" customHeight="1">
      <c r="A680" s="2"/>
    </row>
    <row r="681" ht="15.75" customHeight="1">
      <c r="A681" s="2"/>
    </row>
    <row r="682" ht="15.75" customHeight="1">
      <c r="A682" s="2"/>
    </row>
    <row r="683" ht="15.75" customHeight="1">
      <c r="A683" s="2"/>
    </row>
    <row r="684" ht="15.75" customHeight="1">
      <c r="A684" s="2"/>
    </row>
    <row r="685" ht="15.75" customHeight="1">
      <c r="A685" s="2"/>
    </row>
    <row r="686" ht="15.75" customHeight="1">
      <c r="A686" s="2"/>
    </row>
    <row r="687" ht="15.75" customHeight="1">
      <c r="A687" s="2"/>
    </row>
    <row r="688" ht="15.75" customHeight="1">
      <c r="A688" s="2"/>
    </row>
    <row r="689" ht="15.75" customHeight="1">
      <c r="A689" s="2"/>
    </row>
    <row r="690" ht="15.75" customHeight="1">
      <c r="A690" s="2"/>
    </row>
    <row r="691" ht="15.75" customHeight="1">
      <c r="A691" s="2"/>
    </row>
    <row r="692" ht="15.75" customHeight="1">
      <c r="A692" s="2"/>
    </row>
    <row r="693" ht="15.75" customHeight="1">
      <c r="A693" s="2"/>
    </row>
    <row r="694" ht="15.75" customHeight="1">
      <c r="A694" s="2"/>
    </row>
    <row r="695" ht="15.75" customHeight="1">
      <c r="A695" s="2"/>
    </row>
    <row r="696" ht="15.75" customHeight="1">
      <c r="A696" s="2"/>
    </row>
    <row r="697" ht="15.75" customHeight="1">
      <c r="A697" s="2"/>
    </row>
    <row r="698" ht="15.75" customHeight="1">
      <c r="A698" s="2"/>
    </row>
    <row r="699" ht="15.75" customHeight="1">
      <c r="A699" s="2"/>
    </row>
    <row r="700" ht="15.75" customHeight="1">
      <c r="A700" s="2"/>
    </row>
    <row r="701" ht="15.75" customHeight="1">
      <c r="A701" s="2"/>
    </row>
    <row r="702" ht="15.75" customHeight="1">
      <c r="A702" s="2"/>
    </row>
    <row r="703" ht="15.75" customHeight="1">
      <c r="A703" s="2"/>
    </row>
    <row r="704" ht="15.75" customHeight="1">
      <c r="A704" s="2"/>
    </row>
    <row r="705" ht="15.75" customHeight="1">
      <c r="A705" s="2"/>
    </row>
    <row r="706" ht="15.75" customHeight="1">
      <c r="A706" s="2"/>
    </row>
    <row r="707" ht="15.75" customHeight="1">
      <c r="A707" s="2"/>
    </row>
    <row r="708" ht="15.75" customHeight="1">
      <c r="A708" s="2"/>
    </row>
    <row r="709" ht="15.75" customHeight="1">
      <c r="A709" s="2"/>
    </row>
    <row r="710" ht="15.75" customHeight="1">
      <c r="A710" s="2"/>
    </row>
    <row r="711" ht="15.75" customHeight="1">
      <c r="A711" s="2"/>
    </row>
    <row r="712" ht="15.75" customHeight="1">
      <c r="A712" s="2"/>
    </row>
    <row r="713" ht="15.75" customHeight="1">
      <c r="A713" s="2"/>
    </row>
    <row r="714" ht="15.75" customHeight="1">
      <c r="A714" s="2"/>
    </row>
    <row r="715" ht="15.75" customHeight="1">
      <c r="A715" s="2"/>
    </row>
    <row r="716" ht="15.75" customHeight="1">
      <c r="A716" s="2"/>
    </row>
    <row r="717" ht="15.75" customHeight="1">
      <c r="A717" s="2"/>
    </row>
    <row r="718" ht="15.75" customHeight="1">
      <c r="A718" s="2"/>
    </row>
    <row r="719" ht="15.75" customHeight="1">
      <c r="A719" s="2"/>
    </row>
    <row r="720" ht="15.75" customHeight="1">
      <c r="A720" s="2"/>
    </row>
    <row r="721" ht="15.75" customHeight="1">
      <c r="A721" s="2"/>
    </row>
    <row r="722" ht="15.75" customHeight="1">
      <c r="A722" s="2"/>
    </row>
    <row r="723" ht="15.75" customHeight="1">
      <c r="A723" s="2"/>
    </row>
    <row r="724" ht="15.75" customHeight="1">
      <c r="A724" s="2"/>
    </row>
    <row r="725" ht="15.75" customHeight="1">
      <c r="A725" s="2"/>
    </row>
    <row r="726" ht="15.75" customHeight="1">
      <c r="A726" s="2"/>
    </row>
    <row r="727" ht="15.75" customHeight="1">
      <c r="A727" s="2"/>
    </row>
    <row r="728" ht="15.75" customHeight="1">
      <c r="A728" s="2"/>
    </row>
    <row r="729" ht="15.75" customHeight="1">
      <c r="A729" s="2"/>
    </row>
    <row r="730" ht="15.75" customHeight="1">
      <c r="A730" s="2"/>
    </row>
    <row r="731" ht="15.75" customHeight="1">
      <c r="A731" s="2"/>
    </row>
    <row r="732" ht="15.75" customHeight="1">
      <c r="A732" s="2"/>
    </row>
    <row r="733" ht="15.75" customHeight="1">
      <c r="A733" s="2"/>
    </row>
    <row r="734" ht="15.75" customHeight="1">
      <c r="A734" s="2"/>
    </row>
    <row r="735" ht="15.75" customHeight="1">
      <c r="A735" s="2"/>
    </row>
    <row r="736" ht="15.75" customHeight="1">
      <c r="A736" s="2"/>
    </row>
    <row r="737" ht="15.75" customHeight="1">
      <c r="A737" s="2"/>
    </row>
    <row r="738" ht="15.75" customHeight="1">
      <c r="A738" s="2"/>
    </row>
    <row r="739" ht="15.75" customHeight="1">
      <c r="A739" s="2"/>
    </row>
    <row r="740" ht="15.75" customHeight="1">
      <c r="A740" s="2"/>
    </row>
    <row r="741" ht="15.75" customHeight="1">
      <c r="A741" s="2"/>
    </row>
    <row r="742" ht="15.75" customHeight="1">
      <c r="A742" s="2"/>
    </row>
    <row r="743" ht="15.75" customHeight="1">
      <c r="A743" s="2"/>
    </row>
    <row r="744" ht="15.75" customHeight="1">
      <c r="A744" s="2"/>
    </row>
    <row r="745" ht="15.75" customHeight="1">
      <c r="A745" s="2"/>
    </row>
    <row r="746" ht="15.75" customHeight="1">
      <c r="A746" s="2"/>
    </row>
    <row r="747" ht="15.75" customHeight="1">
      <c r="A747" s="2"/>
    </row>
    <row r="748" ht="15.75" customHeight="1">
      <c r="A748" s="2"/>
    </row>
    <row r="749" ht="15.75" customHeight="1">
      <c r="A749" s="2"/>
    </row>
    <row r="750" ht="15.75" customHeight="1">
      <c r="A750" s="2"/>
    </row>
    <row r="751" ht="15.75" customHeight="1">
      <c r="A751" s="2"/>
    </row>
    <row r="752" ht="15.75" customHeight="1">
      <c r="A752" s="2"/>
    </row>
    <row r="753" ht="15.75" customHeight="1">
      <c r="A753" s="2"/>
    </row>
    <row r="754" ht="15.75" customHeight="1">
      <c r="A754" s="2"/>
    </row>
    <row r="755" ht="15.75" customHeight="1">
      <c r="A755" s="2"/>
    </row>
    <row r="756" ht="15.75" customHeight="1">
      <c r="A756" s="2"/>
    </row>
    <row r="757" ht="15.75" customHeight="1">
      <c r="A757" s="2"/>
    </row>
    <row r="758" ht="15.75" customHeight="1">
      <c r="A758" s="2"/>
    </row>
    <row r="759" ht="15.75" customHeight="1">
      <c r="A759" s="2"/>
    </row>
    <row r="760" ht="15.75" customHeight="1">
      <c r="A760" s="2"/>
    </row>
    <row r="761" ht="15.75" customHeight="1">
      <c r="A761" s="2"/>
    </row>
    <row r="762" ht="15.75" customHeight="1">
      <c r="A762" s="2"/>
    </row>
    <row r="763" ht="15.75" customHeight="1">
      <c r="A763" s="2"/>
    </row>
    <row r="764" ht="15.75" customHeight="1">
      <c r="A764" s="2"/>
    </row>
    <row r="765" ht="15.75" customHeight="1">
      <c r="A765" s="2"/>
    </row>
    <row r="766" ht="15.75" customHeight="1">
      <c r="A766" s="2"/>
    </row>
    <row r="767" ht="15.75" customHeight="1">
      <c r="A767" s="2"/>
    </row>
    <row r="768" ht="15.75" customHeight="1">
      <c r="A768" s="2"/>
    </row>
    <row r="769" ht="15.75" customHeight="1">
      <c r="A769" s="2"/>
    </row>
    <row r="770" ht="15.75" customHeight="1">
      <c r="A770" s="2"/>
    </row>
    <row r="771" ht="15.75" customHeight="1">
      <c r="A771" s="2"/>
    </row>
    <row r="772" ht="15.75" customHeight="1">
      <c r="A772" s="2"/>
    </row>
    <row r="773" ht="15.75" customHeight="1">
      <c r="A773" s="2"/>
    </row>
    <row r="774" ht="15.75" customHeight="1">
      <c r="A774" s="2"/>
    </row>
    <row r="775" ht="15.75" customHeight="1">
      <c r="A775" s="2"/>
    </row>
    <row r="776" ht="15.75" customHeight="1">
      <c r="A776" s="2"/>
    </row>
    <row r="777" ht="15.75" customHeight="1">
      <c r="A777" s="2"/>
    </row>
    <row r="778" ht="15.75" customHeight="1">
      <c r="A778" s="2"/>
    </row>
    <row r="779" ht="15.75" customHeight="1">
      <c r="A779" s="2"/>
    </row>
    <row r="780" ht="15.75" customHeight="1">
      <c r="A780" s="2"/>
    </row>
    <row r="781" ht="15.75" customHeight="1">
      <c r="A781" s="2"/>
    </row>
    <row r="782" ht="15.75" customHeight="1">
      <c r="A782" s="2"/>
    </row>
    <row r="783" ht="15.75" customHeight="1">
      <c r="A783" s="2"/>
    </row>
    <row r="784" ht="15.75" customHeight="1">
      <c r="A784" s="2"/>
    </row>
    <row r="785" ht="15.75" customHeight="1">
      <c r="A785" s="2"/>
    </row>
    <row r="786" ht="15.75" customHeight="1">
      <c r="A786" s="2"/>
    </row>
    <row r="787" ht="15.75" customHeight="1">
      <c r="A787" s="2"/>
    </row>
    <row r="788" ht="15.75" customHeight="1">
      <c r="A788" s="2"/>
    </row>
    <row r="789" ht="15.75" customHeight="1">
      <c r="A789" s="2"/>
    </row>
    <row r="790" ht="15.75" customHeight="1">
      <c r="A790" s="2"/>
    </row>
    <row r="791" ht="15.75" customHeight="1">
      <c r="A791" s="2"/>
    </row>
    <row r="792" ht="15.75" customHeight="1">
      <c r="A792" s="2"/>
    </row>
    <row r="793" ht="15.75" customHeight="1">
      <c r="A793" s="2"/>
    </row>
    <row r="794" ht="15.75" customHeight="1">
      <c r="A794" s="2"/>
    </row>
    <row r="795" ht="15.75" customHeight="1">
      <c r="A795" s="2"/>
    </row>
    <row r="796" ht="15.75" customHeight="1">
      <c r="A796" s="2"/>
    </row>
    <row r="797" ht="15.75" customHeight="1">
      <c r="A797" s="2"/>
    </row>
    <row r="798" ht="15.75" customHeight="1">
      <c r="A798" s="2"/>
    </row>
    <row r="799" ht="15.75" customHeight="1">
      <c r="A799" s="2"/>
    </row>
    <row r="800" ht="15.75" customHeight="1">
      <c r="A800" s="2"/>
    </row>
    <row r="801" ht="15.75" customHeight="1">
      <c r="A801" s="2"/>
    </row>
    <row r="802" ht="15.75" customHeight="1">
      <c r="A802" s="2"/>
    </row>
    <row r="803" ht="15.75" customHeight="1">
      <c r="A803" s="2"/>
    </row>
    <row r="804" ht="15.75" customHeight="1">
      <c r="A804" s="2"/>
    </row>
    <row r="805" ht="15.75" customHeight="1">
      <c r="A805" s="2"/>
    </row>
    <row r="806" ht="15.75" customHeight="1">
      <c r="A806" s="2"/>
    </row>
    <row r="807" ht="15.75" customHeight="1">
      <c r="A807" s="2"/>
    </row>
    <row r="808" ht="15.75" customHeight="1">
      <c r="A808" s="2"/>
    </row>
    <row r="809" ht="15.75" customHeight="1">
      <c r="A809" s="2"/>
    </row>
    <row r="810" ht="15.75" customHeight="1">
      <c r="A810" s="2"/>
    </row>
    <row r="811" ht="15.75" customHeight="1">
      <c r="A811" s="2"/>
    </row>
    <row r="812" ht="15.75" customHeight="1">
      <c r="A812" s="2"/>
    </row>
    <row r="813" ht="15.75" customHeight="1">
      <c r="A813" s="2"/>
    </row>
    <row r="814" ht="15.75" customHeight="1">
      <c r="A814" s="2"/>
    </row>
    <row r="815" ht="15.75" customHeight="1">
      <c r="A815" s="2"/>
    </row>
    <row r="816" ht="15.75" customHeight="1">
      <c r="A816" s="2"/>
    </row>
    <row r="817" ht="15.75" customHeight="1">
      <c r="A817" s="2"/>
    </row>
    <row r="818" ht="15.75" customHeight="1">
      <c r="A818" s="2"/>
    </row>
    <row r="819" ht="15.75" customHeight="1">
      <c r="A819" s="2"/>
    </row>
    <row r="820" ht="15.75" customHeight="1">
      <c r="A820" s="2"/>
    </row>
    <row r="821" ht="15.75" customHeight="1">
      <c r="A821" s="2"/>
    </row>
    <row r="822" ht="15.75" customHeight="1">
      <c r="A822" s="2"/>
    </row>
    <row r="823" ht="15.75" customHeight="1">
      <c r="A823" s="2"/>
    </row>
    <row r="824" ht="15.75" customHeight="1">
      <c r="A824" s="2"/>
    </row>
    <row r="825" ht="15.75" customHeight="1">
      <c r="A825" s="2"/>
    </row>
    <row r="826" ht="15.75" customHeight="1">
      <c r="A826" s="2"/>
    </row>
    <row r="827" ht="15.75" customHeight="1">
      <c r="A827" s="2"/>
    </row>
    <row r="828" ht="15.75" customHeight="1">
      <c r="A828" s="2"/>
    </row>
    <row r="829" ht="15.75" customHeight="1">
      <c r="A829" s="2"/>
    </row>
    <row r="830" ht="15.75" customHeight="1">
      <c r="A830" s="2"/>
    </row>
    <row r="831" ht="15.75" customHeight="1">
      <c r="A831" s="2"/>
    </row>
    <row r="832" ht="15.75" customHeight="1">
      <c r="A832" s="2"/>
    </row>
    <row r="833" ht="15.75" customHeight="1">
      <c r="A833" s="2"/>
    </row>
    <row r="834" ht="15.75" customHeight="1">
      <c r="A834" s="2"/>
    </row>
    <row r="835" ht="15.75" customHeight="1">
      <c r="A835" s="2"/>
    </row>
    <row r="836" ht="15.75" customHeight="1">
      <c r="A836" s="2"/>
    </row>
    <row r="837" ht="15.75" customHeight="1">
      <c r="A837" s="2"/>
    </row>
    <row r="838" ht="15.75" customHeight="1">
      <c r="A838" s="2"/>
    </row>
    <row r="839" ht="15.75" customHeight="1">
      <c r="A839" s="2"/>
    </row>
    <row r="840" ht="15.75" customHeight="1">
      <c r="A840" s="2"/>
    </row>
    <row r="841" ht="15.75" customHeight="1">
      <c r="A841" s="2"/>
    </row>
    <row r="842" ht="15.75" customHeight="1">
      <c r="A842" s="2"/>
    </row>
    <row r="843" ht="15.75" customHeight="1">
      <c r="A843" s="2"/>
    </row>
    <row r="844" ht="15.75" customHeight="1">
      <c r="A844" s="2"/>
    </row>
    <row r="845" ht="15.75" customHeight="1">
      <c r="A845" s="2"/>
    </row>
    <row r="846" ht="15.75" customHeight="1">
      <c r="A846" s="2"/>
    </row>
    <row r="847" ht="15.75" customHeight="1">
      <c r="A847" s="2"/>
    </row>
    <row r="848" ht="15.75" customHeight="1">
      <c r="A848" s="2"/>
    </row>
    <row r="849" ht="15.75" customHeight="1">
      <c r="A849" s="2"/>
    </row>
    <row r="850" ht="15.75" customHeight="1">
      <c r="A850" s="2"/>
    </row>
    <row r="851" ht="15.75" customHeight="1">
      <c r="A851" s="2"/>
    </row>
    <row r="852" ht="15.75" customHeight="1">
      <c r="A852" s="2"/>
    </row>
    <row r="853" ht="15.75" customHeight="1">
      <c r="A853" s="2"/>
    </row>
    <row r="854" ht="15.75" customHeight="1">
      <c r="A854" s="2"/>
    </row>
    <row r="855" ht="15.75" customHeight="1">
      <c r="A855" s="2"/>
    </row>
    <row r="856" ht="15.75" customHeight="1">
      <c r="A856" s="2"/>
    </row>
    <row r="857" ht="15.75" customHeight="1">
      <c r="A857" s="2"/>
    </row>
    <row r="858" ht="15.75" customHeight="1">
      <c r="A858" s="2"/>
    </row>
    <row r="859" ht="15.75" customHeight="1">
      <c r="A859" s="2"/>
    </row>
    <row r="860" ht="15.75" customHeight="1">
      <c r="A860" s="2"/>
    </row>
    <row r="861" ht="15.75" customHeight="1">
      <c r="A861" s="2"/>
    </row>
    <row r="862" ht="15.75" customHeight="1">
      <c r="A862" s="2"/>
    </row>
    <row r="863" ht="15.75" customHeight="1">
      <c r="A863" s="2"/>
    </row>
    <row r="864" ht="15.75" customHeight="1">
      <c r="A864" s="2"/>
    </row>
    <row r="865" ht="15.75" customHeight="1">
      <c r="A865" s="2"/>
    </row>
    <row r="866" ht="15.75" customHeight="1">
      <c r="A866" s="2"/>
    </row>
    <row r="867" ht="15.75" customHeight="1">
      <c r="A867" s="2"/>
    </row>
    <row r="868" ht="15.75" customHeight="1">
      <c r="A868" s="2"/>
    </row>
    <row r="869" ht="15.75" customHeight="1">
      <c r="A869" s="2"/>
    </row>
    <row r="870" ht="15.75" customHeight="1">
      <c r="A870" s="2"/>
    </row>
    <row r="871" ht="15.75" customHeight="1">
      <c r="A871" s="2"/>
    </row>
    <row r="872" ht="15.75" customHeight="1">
      <c r="A872" s="2"/>
    </row>
    <row r="873" ht="15.75" customHeight="1">
      <c r="A873" s="2"/>
    </row>
    <row r="874" ht="15.75" customHeight="1">
      <c r="A874" s="2"/>
    </row>
    <row r="875" ht="15.75" customHeight="1">
      <c r="A875" s="2"/>
    </row>
    <row r="876" ht="15.75" customHeight="1">
      <c r="A876" s="2"/>
    </row>
    <row r="877" ht="15.75" customHeight="1">
      <c r="A877" s="2"/>
    </row>
    <row r="878" ht="15.75" customHeight="1">
      <c r="A878" s="2"/>
    </row>
    <row r="879" ht="15.75" customHeight="1">
      <c r="A879" s="2"/>
    </row>
    <row r="880" ht="15.75" customHeight="1">
      <c r="A880" s="2"/>
    </row>
    <row r="881" ht="15.75" customHeight="1">
      <c r="A881" s="2"/>
    </row>
    <row r="882" ht="15.75" customHeight="1">
      <c r="A882" s="2"/>
    </row>
    <row r="883" ht="15.75" customHeight="1">
      <c r="A883" s="2"/>
    </row>
    <row r="884" ht="15.75" customHeight="1">
      <c r="A884" s="2"/>
    </row>
    <row r="885" ht="15.75" customHeight="1">
      <c r="A885" s="2"/>
    </row>
    <row r="886" ht="15.75" customHeight="1">
      <c r="A886" s="2"/>
    </row>
    <row r="887" ht="15.75" customHeight="1">
      <c r="A887" s="2"/>
    </row>
    <row r="888" ht="15.75" customHeight="1">
      <c r="A888" s="2"/>
    </row>
    <row r="889" ht="15.75" customHeight="1">
      <c r="A889" s="2"/>
    </row>
    <row r="890" ht="15.75" customHeight="1">
      <c r="A890" s="2"/>
    </row>
    <row r="891" ht="15.75" customHeight="1">
      <c r="A891" s="2"/>
    </row>
    <row r="892" ht="15.75" customHeight="1">
      <c r="A892" s="2"/>
    </row>
    <row r="893" ht="15.75" customHeight="1">
      <c r="A893" s="2"/>
    </row>
    <row r="894" ht="15.75" customHeight="1">
      <c r="A894" s="2"/>
    </row>
    <row r="895" ht="15.75" customHeight="1">
      <c r="A895" s="2"/>
    </row>
    <row r="896" ht="15.75" customHeight="1">
      <c r="A896" s="2"/>
    </row>
    <row r="897" ht="15.75" customHeight="1">
      <c r="A897" s="2"/>
    </row>
    <row r="898" ht="15.75" customHeight="1">
      <c r="A898" s="2"/>
    </row>
    <row r="899" ht="15.75" customHeight="1">
      <c r="A899" s="2"/>
    </row>
    <row r="900" ht="15.75" customHeight="1">
      <c r="A900" s="2"/>
    </row>
    <row r="901" ht="15.75" customHeight="1">
      <c r="A901" s="2"/>
    </row>
    <row r="902" ht="15.75" customHeight="1">
      <c r="A902" s="2"/>
    </row>
    <row r="903" ht="15.75" customHeight="1">
      <c r="A903" s="2"/>
    </row>
    <row r="904" ht="15.75" customHeight="1">
      <c r="A904" s="2"/>
    </row>
    <row r="905" ht="15.75" customHeight="1">
      <c r="A905" s="2"/>
    </row>
    <row r="906" ht="15.75" customHeight="1">
      <c r="A906" s="2"/>
    </row>
    <row r="907" ht="15.75" customHeight="1">
      <c r="A907" s="2"/>
    </row>
    <row r="908" ht="15.75" customHeight="1">
      <c r="A908" s="2"/>
    </row>
    <row r="909" ht="15.75" customHeight="1">
      <c r="A909" s="2"/>
    </row>
    <row r="910" ht="15.75" customHeight="1">
      <c r="A910" s="2"/>
    </row>
    <row r="911" ht="15.75" customHeight="1">
      <c r="A911" s="2"/>
    </row>
    <row r="912" ht="15.75" customHeight="1">
      <c r="A912" s="2"/>
    </row>
    <row r="913" ht="15.75" customHeight="1">
      <c r="A913" s="2"/>
    </row>
    <row r="914" ht="15.75" customHeight="1">
      <c r="A914" s="2"/>
    </row>
    <row r="915" ht="15.75" customHeight="1">
      <c r="A915" s="2"/>
    </row>
    <row r="916" ht="15.75" customHeight="1">
      <c r="A916" s="2"/>
    </row>
    <row r="917" ht="15.75" customHeight="1">
      <c r="A917" s="2"/>
    </row>
    <row r="918" ht="15.75" customHeight="1">
      <c r="A918" s="2"/>
    </row>
    <row r="919" ht="15.75" customHeight="1">
      <c r="A919" s="2"/>
    </row>
    <row r="920" ht="15.75" customHeight="1">
      <c r="A920" s="2"/>
    </row>
    <row r="921" ht="15.75" customHeight="1">
      <c r="A921" s="2"/>
    </row>
    <row r="922" ht="15.75" customHeight="1">
      <c r="A922" s="2"/>
    </row>
    <row r="923" ht="15.75" customHeight="1">
      <c r="A923" s="2"/>
    </row>
    <row r="924" ht="15.75" customHeight="1">
      <c r="A924" s="2"/>
    </row>
    <row r="925" ht="15.75" customHeight="1">
      <c r="A925" s="2"/>
    </row>
    <row r="926" ht="15.75" customHeight="1">
      <c r="A926" s="2"/>
    </row>
    <row r="927" ht="15.75" customHeight="1">
      <c r="A927" s="2"/>
    </row>
    <row r="928" ht="15.75" customHeight="1">
      <c r="A928" s="2"/>
    </row>
    <row r="929" ht="15.75" customHeight="1">
      <c r="A929" s="2"/>
    </row>
    <row r="930" ht="15.75" customHeight="1">
      <c r="A930" s="2"/>
    </row>
    <row r="931" ht="15.75" customHeight="1">
      <c r="A931" s="2"/>
    </row>
    <row r="932" ht="15.75" customHeight="1">
      <c r="A932" s="2"/>
    </row>
    <row r="933" ht="15.75" customHeight="1">
      <c r="A933" s="2"/>
    </row>
    <row r="934" ht="15.75" customHeight="1">
      <c r="A934" s="2"/>
    </row>
    <row r="935" ht="15.75" customHeight="1">
      <c r="A935" s="2"/>
    </row>
    <row r="936" ht="15.75" customHeight="1">
      <c r="A936" s="2"/>
    </row>
    <row r="937" ht="15.75" customHeight="1">
      <c r="A937" s="2"/>
    </row>
    <row r="938" ht="15.75" customHeight="1">
      <c r="A938" s="2"/>
    </row>
    <row r="939" ht="15.75" customHeight="1">
      <c r="A939" s="2"/>
    </row>
    <row r="940" ht="15.75" customHeight="1">
      <c r="A940" s="2"/>
    </row>
    <row r="941" ht="15.75" customHeight="1">
      <c r="A941" s="2"/>
    </row>
    <row r="942" ht="15.75" customHeight="1">
      <c r="A942" s="2"/>
    </row>
    <row r="943" ht="15.75" customHeight="1">
      <c r="A943" s="2"/>
    </row>
    <row r="944" ht="15.75" customHeight="1">
      <c r="A944" s="2"/>
    </row>
    <row r="945" ht="15.75" customHeight="1">
      <c r="A945" s="2"/>
    </row>
    <row r="946" ht="15.75" customHeight="1">
      <c r="A946" s="2"/>
    </row>
    <row r="947" ht="15.75" customHeight="1">
      <c r="A947" s="2"/>
    </row>
    <row r="948" ht="15.75" customHeight="1">
      <c r="A948" s="2"/>
    </row>
    <row r="949" ht="15.75" customHeight="1">
      <c r="A949" s="2"/>
    </row>
    <row r="950" ht="15.75" customHeight="1">
      <c r="A950" s="2"/>
    </row>
    <row r="951" ht="15.75" customHeight="1">
      <c r="A951" s="2"/>
    </row>
    <row r="952" ht="15.75" customHeight="1">
      <c r="A952" s="2"/>
    </row>
    <row r="953" ht="15.75" customHeight="1">
      <c r="A953" s="2"/>
    </row>
    <row r="954" ht="15.75" customHeight="1">
      <c r="A954" s="2"/>
    </row>
    <row r="955" ht="15.75" customHeight="1">
      <c r="A955" s="2"/>
    </row>
    <row r="956" ht="15.75" customHeight="1">
      <c r="A956" s="2"/>
    </row>
    <row r="957" ht="15.75" customHeight="1">
      <c r="A957" s="2"/>
    </row>
    <row r="958" ht="15.75" customHeight="1">
      <c r="A958" s="2"/>
    </row>
    <row r="959" ht="15.75" customHeight="1">
      <c r="A959" s="2"/>
    </row>
    <row r="960" ht="15.75" customHeight="1">
      <c r="A960" s="2"/>
    </row>
    <row r="961" ht="15.75" customHeight="1">
      <c r="A961" s="2"/>
    </row>
    <row r="962" ht="15.75" customHeight="1">
      <c r="A962" s="2"/>
    </row>
    <row r="963" ht="15.75" customHeight="1">
      <c r="A963" s="2"/>
    </row>
    <row r="964" ht="15.75" customHeight="1">
      <c r="A964" s="2"/>
    </row>
    <row r="965" ht="15.75" customHeight="1">
      <c r="A965" s="2"/>
    </row>
    <row r="966" ht="15.75" customHeight="1">
      <c r="A966" s="2"/>
    </row>
    <row r="967" ht="15.75" customHeight="1">
      <c r="A967" s="2"/>
    </row>
    <row r="968" ht="15.75" customHeight="1">
      <c r="A968" s="2"/>
    </row>
    <row r="969" ht="15.75" customHeight="1">
      <c r="A969" s="2"/>
    </row>
    <row r="970" ht="15.75" customHeight="1">
      <c r="A970" s="2"/>
    </row>
    <row r="971" ht="15.75" customHeight="1">
      <c r="A971" s="2"/>
    </row>
    <row r="972" ht="15.75" customHeight="1">
      <c r="A972" s="2"/>
    </row>
    <row r="973" ht="15.75" customHeight="1">
      <c r="A973" s="2"/>
    </row>
    <row r="974" ht="15.75" customHeight="1">
      <c r="A974" s="2"/>
    </row>
    <row r="975" ht="15.75" customHeight="1">
      <c r="A975" s="2"/>
    </row>
    <row r="976" ht="15.75" customHeight="1">
      <c r="A976" s="2"/>
    </row>
    <row r="977" ht="15.75" customHeight="1">
      <c r="A977" s="2"/>
    </row>
    <row r="978" ht="15.75" customHeight="1">
      <c r="A978" s="2"/>
    </row>
    <row r="979" ht="15.75" customHeight="1">
      <c r="A979" s="2"/>
    </row>
    <row r="980" ht="15.75" customHeight="1">
      <c r="A980" s="2"/>
    </row>
    <row r="981" ht="15.75" customHeight="1">
      <c r="A981" s="2"/>
    </row>
    <row r="982" ht="15.75" customHeight="1">
      <c r="A982" s="2"/>
    </row>
    <row r="983" ht="15.75" customHeight="1">
      <c r="A983" s="2"/>
    </row>
    <row r="984" ht="15.75" customHeight="1">
      <c r="A984" s="2"/>
    </row>
    <row r="985" ht="15.75" customHeight="1">
      <c r="A985" s="2"/>
    </row>
    <row r="986" ht="15.75" customHeight="1">
      <c r="A986" s="2"/>
    </row>
    <row r="987" ht="15.75" customHeight="1">
      <c r="A987" s="2"/>
    </row>
    <row r="988" ht="15.75" customHeight="1">
      <c r="A988" s="2"/>
    </row>
    <row r="989" ht="15.75" customHeight="1">
      <c r="A989" s="2"/>
    </row>
    <row r="990" ht="15.75" customHeight="1">
      <c r="A990" s="2"/>
    </row>
    <row r="991" ht="15.75" customHeight="1">
      <c r="A991" s="2"/>
    </row>
    <row r="992" ht="15.75" customHeight="1">
      <c r="A992" s="2"/>
    </row>
    <row r="993" ht="15.75" customHeight="1">
      <c r="A993" s="2"/>
    </row>
    <row r="994" ht="15.75" customHeight="1">
      <c r="A994" s="2"/>
    </row>
    <row r="995" ht="15.75" customHeight="1">
      <c r="A995" s="2"/>
    </row>
    <row r="996" ht="15.75" customHeight="1">
      <c r="A996" s="2"/>
    </row>
    <row r="997" ht="15.75" customHeight="1">
      <c r="A997" s="2"/>
    </row>
    <row r="998" ht="15.75" customHeight="1">
      <c r="A998" s="2"/>
    </row>
    <row r="999" ht="15.75" customHeight="1">
      <c r="A999" s="2"/>
    </row>
    <row r="1000" ht="15.75" customHeight="1">
      <c r="A1000" s="2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57"/>
    <col customWidth="1" min="2" max="2" width="21.43"/>
    <col customWidth="1" min="3" max="3" width="37.43"/>
    <col customWidth="1" min="4" max="4" width="9.86"/>
    <col customWidth="1" min="5" max="5" width="57.71"/>
  </cols>
  <sheetData>
    <row r="1">
      <c r="A1" s="7" t="s">
        <v>9</v>
      </c>
      <c r="B1" s="8" t="s">
        <v>10</v>
      </c>
      <c r="C1" s="7" t="s">
        <v>11</v>
      </c>
      <c r="D1" s="9" t="s">
        <v>12</v>
      </c>
      <c r="E1" s="10" t="s">
        <v>13</v>
      </c>
    </row>
    <row r="2">
      <c r="A2" s="11" t="s">
        <v>14</v>
      </c>
      <c r="B2" s="12" t="s">
        <v>15</v>
      </c>
      <c r="C2" s="13" t="s">
        <v>16</v>
      </c>
      <c r="D2" s="14">
        <v>1.0</v>
      </c>
      <c r="E2" s="15"/>
    </row>
    <row r="3">
      <c r="B3" s="12"/>
      <c r="C3" s="13"/>
      <c r="E3" s="15"/>
    </row>
    <row r="4">
      <c r="A4" s="16" t="s">
        <v>17</v>
      </c>
      <c r="C4" s="13" t="s">
        <v>18</v>
      </c>
      <c r="D4" s="14">
        <v>0.3333</v>
      </c>
      <c r="E4" s="12" t="s">
        <v>19</v>
      </c>
    </row>
    <row r="5">
      <c r="A5" s="13"/>
      <c r="B5" s="12" t="s">
        <v>20</v>
      </c>
      <c r="C5" s="13" t="s">
        <v>21</v>
      </c>
      <c r="D5" s="14">
        <v>0.6</v>
      </c>
      <c r="E5" s="15"/>
    </row>
    <row r="6">
      <c r="B6" s="12"/>
      <c r="C6" s="13" t="s">
        <v>22</v>
      </c>
      <c r="D6" s="14">
        <v>0.5</v>
      </c>
      <c r="E6" s="12" t="s">
        <v>23</v>
      </c>
    </row>
    <row r="7">
      <c r="B7" s="12"/>
      <c r="C7" s="13" t="s">
        <v>24</v>
      </c>
      <c r="D7" s="14">
        <v>0.4</v>
      </c>
      <c r="E7" s="12" t="s">
        <v>25</v>
      </c>
    </row>
    <row r="8">
      <c r="B8" s="15"/>
      <c r="C8" s="13" t="s">
        <v>26</v>
      </c>
      <c r="D8" s="14">
        <v>0.1</v>
      </c>
      <c r="E8" s="12" t="s">
        <v>27</v>
      </c>
    </row>
    <row r="9">
      <c r="B9" s="15"/>
      <c r="C9" s="13" t="s">
        <v>28</v>
      </c>
      <c r="D9" s="14">
        <v>1.0</v>
      </c>
      <c r="E9" s="12" t="s">
        <v>29</v>
      </c>
    </row>
    <row r="10">
      <c r="B10" s="12" t="s">
        <v>30</v>
      </c>
      <c r="C10" s="13" t="s">
        <v>31</v>
      </c>
      <c r="D10" s="14">
        <v>0.4</v>
      </c>
      <c r="E10" s="12" t="s">
        <v>32</v>
      </c>
    </row>
    <row r="11">
      <c r="B11" s="15"/>
      <c r="E11" s="15"/>
    </row>
    <row r="12">
      <c r="A12" s="17"/>
      <c r="B12" s="18"/>
      <c r="C12" s="17"/>
      <c r="D12" s="17"/>
      <c r="E12" s="19"/>
    </row>
    <row r="13">
      <c r="A13" s="11" t="s">
        <v>33</v>
      </c>
      <c r="B13" s="12" t="s">
        <v>34</v>
      </c>
      <c r="C13" s="13" t="s">
        <v>35</v>
      </c>
      <c r="D13" s="14">
        <v>1.0</v>
      </c>
      <c r="E13" s="15"/>
    </row>
    <row r="14">
      <c r="B14" s="15"/>
      <c r="C14" s="13" t="s">
        <v>22</v>
      </c>
      <c r="D14" s="14">
        <v>0.5</v>
      </c>
      <c r="E14" s="12" t="s">
        <v>36</v>
      </c>
    </row>
    <row r="15">
      <c r="B15" s="15"/>
      <c r="C15" s="13" t="s">
        <v>37</v>
      </c>
      <c r="D15" s="14">
        <v>0.5</v>
      </c>
      <c r="E15" s="20" t="s">
        <v>38</v>
      </c>
    </row>
    <row r="16">
      <c r="B16" s="15"/>
      <c r="E16" s="15"/>
    </row>
    <row r="17">
      <c r="B17" s="15"/>
      <c r="E17" s="15"/>
    </row>
    <row r="18">
      <c r="B18" s="15"/>
      <c r="E18" s="15"/>
    </row>
    <row r="19">
      <c r="B19" s="15"/>
      <c r="E19" s="15"/>
    </row>
    <row r="20">
      <c r="B20" s="15"/>
      <c r="E20" s="15"/>
    </row>
    <row r="21">
      <c r="B21" s="15"/>
      <c r="E21" s="15"/>
    </row>
    <row r="22">
      <c r="B22" s="15"/>
      <c r="E22" s="15"/>
    </row>
    <row r="23">
      <c r="B23" s="15"/>
      <c r="E23" s="15"/>
    </row>
    <row r="24">
      <c r="B24" s="15"/>
      <c r="E24" s="15"/>
    </row>
    <row r="25">
      <c r="B25" s="15"/>
      <c r="E25" s="15"/>
    </row>
    <row r="26">
      <c r="B26" s="15"/>
      <c r="E26" s="15"/>
    </row>
    <row r="27">
      <c r="B27" s="15"/>
      <c r="E27" s="15"/>
    </row>
    <row r="28">
      <c r="B28" s="15"/>
      <c r="E28" s="15"/>
    </row>
    <row r="29">
      <c r="B29" s="15"/>
      <c r="E29" s="15"/>
    </row>
    <row r="30">
      <c r="B30" s="15"/>
      <c r="E30" s="15"/>
    </row>
    <row r="31">
      <c r="B31" s="15"/>
      <c r="E31" s="15"/>
    </row>
    <row r="32">
      <c r="B32" s="15"/>
      <c r="E32" s="15"/>
    </row>
    <row r="33">
      <c r="B33" s="15"/>
      <c r="E33" s="15"/>
    </row>
    <row r="34">
      <c r="B34" s="15"/>
      <c r="E34" s="15"/>
    </row>
    <row r="35">
      <c r="B35" s="15"/>
      <c r="E35" s="15"/>
    </row>
    <row r="36">
      <c r="B36" s="15"/>
      <c r="E36" s="15"/>
    </row>
    <row r="37">
      <c r="B37" s="15"/>
      <c r="E37" s="15"/>
    </row>
    <row r="38">
      <c r="B38" s="15"/>
      <c r="E38" s="15"/>
    </row>
    <row r="39">
      <c r="B39" s="15"/>
      <c r="E39" s="15"/>
    </row>
    <row r="40">
      <c r="B40" s="15"/>
      <c r="E40" s="15"/>
    </row>
    <row r="41">
      <c r="B41" s="15"/>
      <c r="E41" s="15"/>
    </row>
    <row r="42">
      <c r="B42" s="15"/>
      <c r="E42" s="15"/>
    </row>
    <row r="43">
      <c r="B43" s="15"/>
      <c r="E43" s="15"/>
    </row>
    <row r="44">
      <c r="B44" s="15"/>
      <c r="E44" s="15"/>
    </row>
    <row r="45">
      <c r="B45" s="15"/>
      <c r="E45" s="15"/>
    </row>
    <row r="46">
      <c r="B46" s="15"/>
      <c r="E46" s="15"/>
    </row>
    <row r="47">
      <c r="B47" s="15"/>
      <c r="E47" s="15"/>
    </row>
    <row r="48">
      <c r="B48" s="15"/>
      <c r="E48" s="15"/>
    </row>
    <row r="49">
      <c r="B49" s="15"/>
      <c r="E49" s="15"/>
    </row>
    <row r="50">
      <c r="B50" s="15"/>
      <c r="E50" s="15"/>
    </row>
    <row r="51">
      <c r="B51" s="15"/>
      <c r="E51" s="15"/>
    </row>
    <row r="52">
      <c r="B52" s="15"/>
      <c r="E52" s="15"/>
    </row>
    <row r="53">
      <c r="B53" s="15"/>
      <c r="E53" s="15"/>
    </row>
    <row r="54">
      <c r="B54" s="15"/>
      <c r="E54" s="15"/>
    </row>
    <row r="55">
      <c r="B55" s="15"/>
      <c r="E55" s="15"/>
    </row>
    <row r="56">
      <c r="B56" s="15"/>
      <c r="E56" s="15"/>
    </row>
    <row r="57">
      <c r="B57" s="15"/>
      <c r="E57" s="15"/>
    </row>
    <row r="58">
      <c r="B58" s="15"/>
      <c r="E58" s="15"/>
    </row>
    <row r="59">
      <c r="B59" s="15"/>
      <c r="E59" s="15"/>
    </row>
    <row r="60">
      <c r="B60" s="15"/>
      <c r="E60" s="15"/>
    </row>
    <row r="61">
      <c r="B61" s="15"/>
      <c r="E61" s="15"/>
    </row>
    <row r="62">
      <c r="B62" s="15"/>
      <c r="E62" s="15"/>
    </row>
    <row r="63">
      <c r="B63" s="15"/>
      <c r="E63" s="15"/>
    </row>
    <row r="64">
      <c r="B64" s="15"/>
      <c r="E64" s="15"/>
    </row>
    <row r="65">
      <c r="B65" s="15"/>
      <c r="E65" s="15"/>
    </row>
    <row r="66">
      <c r="B66" s="15"/>
      <c r="E66" s="15"/>
    </row>
    <row r="67">
      <c r="B67" s="15"/>
      <c r="E67" s="15"/>
    </row>
    <row r="68">
      <c r="B68" s="15"/>
      <c r="E68" s="15"/>
    </row>
    <row r="69">
      <c r="B69" s="15"/>
      <c r="E69" s="15"/>
    </row>
    <row r="70">
      <c r="B70" s="15"/>
      <c r="E70" s="15"/>
    </row>
    <row r="71">
      <c r="B71" s="15"/>
      <c r="E71" s="15"/>
    </row>
    <row r="72">
      <c r="B72" s="15"/>
      <c r="E72" s="15"/>
    </row>
    <row r="73">
      <c r="B73" s="15"/>
      <c r="E73" s="15"/>
    </row>
    <row r="74">
      <c r="B74" s="15"/>
      <c r="E74" s="15"/>
    </row>
    <row r="75">
      <c r="B75" s="15"/>
      <c r="E75" s="15"/>
    </row>
    <row r="76">
      <c r="B76" s="15"/>
      <c r="E76" s="15"/>
    </row>
    <row r="77">
      <c r="B77" s="15"/>
      <c r="E77" s="15"/>
    </row>
    <row r="78">
      <c r="B78" s="15"/>
      <c r="E78" s="15"/>
    </row>
    <row r="79">
      <c r="B79" s="15"/>
      <c r="E79" s="15"/>
    </row>
    <row r="80">
      <c r="B80" s="15"/>
      <c r="E80" s="15"/>
    </row>
    <row r="81">
      <c r="B81" s="15"/>
      <c r="E81" s="15"/>
    </row>
    <row r="82">
      <c r="B82" s="15"/>
      <c r="E82" s="15"/>
    </row>
    <row r="83">
      <c r="B83" s="15"/>
      <c r="E83" s="15"/>
    </row>
    <row r="84">
      <c r="B84" s="15"/>
      <c r="E84" s="15"/>
    </row>
    <row r="85">
      <c r="B85" s="15"/>
      <c r="E85" s="15"/>
    </row>
    <row r="86">
      <c r="B86" s="15"/>
      <c r="E86" s="15"/>
    </row>
    <row r="87">
      <c r="B87" s="15"/>
      <c r="E87" s="15"/>
    </row>
    <row r="88">
      <c r="B88" s="15"/>
      <c r="E88" s="15"/>
    </row>
    <row r="89">
      <c r="B89" s="15"/>
      <c r="E89" s="15"/>
    </row>
    <row r="90">
      <c r="B90" s="15"/>
      <c r="E90" s="15"/>
    </row>
    <row r="91">
      <c r="B91" s="15"/>
      <c r="E91" s="15"/>
    </row>
    <row r="92">
      <c r="B92" s="15"/>
      <c r="E92" s="15"/>
    </row>
    <row r="93">
      <c r="B93" s="15"/>
      <c r="E93" s="15"/>
    </row>
    <row r="94">
      <c r="B94" s="15"/>
      <c r="E94" s="15"/>
    </row>
    <row r="95">
      <c r="B95" s="15"/>
      <c r="E95" s="15"/>
    </row>
    <row r="96">
      <c r="B96" s="15"/>
      <c r="E96" s="15"/>
    </row>
    <row r="97">
      <c r="B97" s="15"/>
      <c r="E97" s="15"/>
    </row>
    <row r="98">
      <c r="B98" s="15"/>
      <c r="E98" s="15"/>
    </row>
    <row r="99">
      <c r="B99" s="15"/>
      <c r="E99" s="15"/>
    </row>
    <row r="100">
      <c r="B100" s="15"/>
      <c r="E100" s="15"/>
    </row>
    <row r="101">
      <c r="B101" s="15"/>
      <c r="E101" s="15"/>
    </row>
    <row r="102">
      <c r="B102" s="15"/>
      <c r="E102" s="15"/>
    </row>
    <row r="103">
      <c r="B103" s="15"/>
      <c r="E103" s="15"/>
    </row>
    <row r="104">
      <c r="B104" s="15"/>
      <c r="E104" s="15"/>
    </row>
    <row r="105">
      <c r="B105" s="15"/>
      <c r="E105" s="15"/>
    </row>
    <row r="106">
      <c r="B106" s="15"/>
      <c r="E106" s="15"/>
    </row>
    <row r="107">
      <c r="B107" s="15"/>
      <c r="E107" s="15"/>
    </row>
    <row r="108">
      <c r="B108" s="15"/>
      <c r="E108" s="15"/>
    </row>
    <row r="109">
      <c r="B109" s="15"/>
      <c r="E109" s="15"/>
    </row>
    <row r="110">
      <c r="B110" s="15"/>
      <c r="E110" s="15"/>
    </row>
    <row r="111">
      <c r="B111" s="15"/>
      <c r="E111" s="15"/>
    </row>
    <row r="112">
      <c r="B112" s="15"/>
      <c r="E112" s="15"/>
    </row>
    <row r="113">
      <c r="B113" s="15"/>
      <c r="E113" s="15"/>
    </row>
    <row r="114">
      <c r="B114" s="15"/>
      <c r="E114" s="15"/>
    </row>
    <row r="115">
      <c r="B115" s="15"/>
      <c r="E115" s="15"/>
    </row>
    <row r="116">
      <c r="B116" s="15"/>
      <c r="E116" s="15"/>
    </row>
    <row r="117">
      <c r="B117" s="15"/>
      <c r="E117" s="15"/>
    </row>
    <row r="118">
      <c r="B118" s="15"/>
      <c r="E118" s="15"/>
    </row>
    <row r="119">
      <c r="B119" s="15"/>
      <c r="E119" s="15"/>
    </row>
    <row r="120">
      <c r="B120" s="15"/>
      <c r="E120" s="15"/>
    </row>
    <row r="121">
      <c r="B121" s="15"/>
      <c r="E121" s="15"/>
    </row>
    <row r="122">
      <c r="B122" s="15"/>
      <c r="E122" s="15"/>
    </row>
    <row r="123">
      <c r="B123" s="15"/>
      <c r="E123" s="15"/>
    </row>
    <row r="124">
      <c r="B124" s="15"/>
      <c r="E124" s="15"/>
    </row>
    <row r="125">
      <c r="B125" s="15"/>
      <c r="E125" s="15"/>
    </row>
    <row r="126">
      <c r="B126" s="15"/>
      <c r="E126" s="15"/>
    </row>
    <row r="127">
      <c r="B127" s="15"/>
      <c r="E127" s="15"/>
    </row>
    <row r="128">
      <c r="B128" s="15"/>
      <c r="E128" s="15"/>
    </row>
    <row r="129">
      <c r="B129" s="15"/>
      <c r="E129" s="15"/>
    </row>
    <row r="130">
      <c r="B130" s="15"/>
      <c r="E130" s="15"/>
    </row>
    <row r="131">
      <c r="B131" s="15"/>
      <c r="E131" s="15"/>
    </row>
    <row r="132">
      <c r="B132" s="15"/>
      <c r="E132" s="15"/>
    </row>
    <row r="133">
      <c r="B133" s="15"/>
      <c r="E133" s="15"/>
    </row>
    <row r="134">
      <c r="B134" s="15"/>
      <c r="E134" s="15"/>
    </row>
    <row r="135">
      <c r="B135" s="15"/>
      <c r="E135" s="15"/>
    </row>
    <row r="136">
      <c r="B136" s="15"/>
      <c r="E136" s="15"/>
    </row>
    <row r="137">
      <c r="B137" s="15"/>
      <c r="E137" s="15"/>
    </row>
    <row r="138">
      <c r="B138" s="15"/>
      <c r="E138" s="15"/>
    </row>
    <row r="139">
      <c r="B139" s="15"/>
      <c r="E139" s="15"/>
    </row>
    <row r="140">
      <c r="B140" s="15"/>
      <c r="E140" s="15"/>
    </row>
    <row r="141">
      <c r="B141" s="15"/>
      <c r="E141" s="15"/>
    </row>
    <row r="142">
      <c r="B142" s="15"/>
      <c r="E142" s="15"/>
    </row>
    <row r="143">
      <c r="B143" s="15"/>
      <c r="E143" s="15"/>
    </row>
    <row r="144">
      <c r="B144" s="15"/>
      <c r="E144" s="15"/>
    </row>
    <row r="145">
      <c r="B145" s="15"/>
      <c r="E145" s="15"/>
    </row>
    <row r="146">
      <c r="B146" s="15"/>
      <c r="E146" s="15"/>
    </row>
    <row r="147">
      <c r="B147" s="15"/>
      <c r="E147" s="15"/>
    </row>
    <row r="148">
      <c r="B148" s="15"/>
      <c r="E148" s="15"/>
    </row>
    <row r="149">
      <c r="B149" s="15"/>
      <c r="E149" s="15"/>
    </row>
    <row r="150">
      <c r="B150" s="15"/>
      <c r="E150" s="15"/>
    </row>
    <row r="151">
      <c r="B151" s="15"/>
      <c r="E151" s="15"/>
    </row>
    <row r="152">
      <c r="B152" s="15"/>
      <c r="E152" s="15"/>
    </row>
    <row r="153">
      <c r="B153" s="15"/>
      <c r="E153" s="15"/>
    </row>
    <row r="154">
      <c r="B154" s="15"/>
      <c r="E154" s="15"/>
    </row>
    <row r="155">
      <c r="B155" s="15"/>
      <c r="E155" s="15"/>
    </row>
    <row r="156">
      <c r="B156" s="15"/>
      <c r="E156" s="15"/>
    </row>
    <row r="157">
      <c r="B157" s="15"/>
      <c r="E157" s="15"/>
    </row>
    <row r="158">
      <c r="B158" s="15"/>
      <c r="E158" s="15"/>
    </row>
    <row r="159">
      <c r="B159" s="15"/>
      <c r="E159" s="15"/>
    </row>
    <row r="160">
      <c r="B160" s="15"/>
      <c r="E160" s="15"/>
    </row>
    <row r="161">
      <c r="B161" s="15"/>
      <c r="E161" s="15"/>
    </row>
    <row r="162">
      <c r="B162" s="15"/>
      <c r="E162" s="15"/>
    </row>
    <row r="163">
      <c r="B163" s="15"/>
      <c r="E163" s="15"/>
    </row>
    <row r="164">
      <c r="B164" s="15"/>
      <c r="E164" s="15"/>
    </row>
    <row r="165">
      <c r="B165" s="15"/>
      <c r="E165" s="15"/>
    </row>
    <row r="166">
      <c r="B166" s="15"/>
      <c r="E166" s="15"/>
    </row>
    <row r="167">
      <c r="B167" s="15"/>
      <c r="E167" s="15"/>
    </row>
    <row r="168">
      <c r="B168" s="15"/>
      <c r="E168" s="15"/>
    </row>
    <row r="169">
      <c r="B169" s="15"/>
      <c r="E169" s="15"/>
    </row>
    <row r="170">
      <c r="B170" s="15"/>
      <c r="E170" s="15"/>
    </row>
    <row r="171">
      <c r="B171" s="15"/>
      <c r="E171" s="15"/>
    </row>
    <row r="172">
      <c r="B172" s="15"/>
      <c r="E172" s="15"/>
    </row>
    <row r="173">
      <c r="B173" s="15"/>
      <c r="E173" s="15"/>
    </row>
    <row r="174">
      <c r="B174" s="15"/>
      <c r="E174" s="15"/>
    </row>
    <row r="175">
      <c r="B175" s="15"/>
      <c r="E175" s="15"/>
    </row>
    <row r="176">
      <c r="B176" s="15"/>
      <c r="E176" s="15"/>
    </row>
    <row r="177">
      <c r="B177" s="15"/>
      <c r="E177" s="15"/>
    </row>
    <row r="178">
      <c r="B178" s="15"/>
      <c r="E178" s="15"/>
    </row>
    <row r="179">
      <c r="B179" s="15"/>
      <c r="E179" s="15"/>
    </row>
    <row r="180">
      <c r="B180" s="15"/>
      <c r="E180" s="15"/>
    </row>
    <row r="181">
      <c r="B181" s="15"/>
      <c r="E181" s="15"/>
    </row>
    <row r="182">
      <c r="B182" s="15"/>
      <c r="E182" s="15"/>
    </row>
    <row r="183">
      <c r="B183" s="15"/>
      <c r="E183" s="15"/>
    </row>
    <row r="184">
      <c r="B184" s="15"/>
      <c r="E184" s="15"/>
    </row>
    <row r="185">
      <c r="B185" s="15"/>
      <c r="E185" s="15"/>
    </row>
    <row r="186">
      <c r="B186" s="15"/>
      <c r="E186" s="15"/>
    </row>
    <row r="187">
      <c r="B187" s="15"/>
      <c r="E187" s="15"/>
    </row>
    <row r="188">
      <c r="B188" s="15"/>
      <c r="E188" s="15"/>
    </row>
    <row r="189">
      <c r="B189" s="15"/>
      <c r="E189" s="15"/>
    </row>
    <row r="190">
      <c r="B190" s="15"/>
      <c r="E190" s="15"/>
    </row>
    <row r="191">
      <c r="B191" s="15"/>
      <c r="E191" s="15"/>
    </row>
    <row r="192">
      <c r="B192" s="15"/>
      <c r="E192" s="15"/>
    </row>
    <row r="193">
      <c r="B193" s="15"/>
      <c r="E193" s="15"/>
    </row>
    <row r="194">
      <c r="B194" s="15"/>
      <c r="E194" s="15"/>
    </row>
    <row r="195">
      <c r="B195" s="15"/>
      <c r="E195" s="15"/>
    </row>
    <row r="196">
      <c r="B196" s="15"/>
      <c r="E196" s="15"/>
    </row>
    <row r="197">
      <c r="B197" s="15"/>
      <c r="E197" s="15"/>
    </row>
    <row r="198">
      <c r="B198" s="15"/>
      <c r="E198" s="15"/>
    </row>
    <row r="199">
      <c r="B199" s="15"/>
      <c r="E199" s="15"/>
    </row>
    <row r="200">
      <c r="B200" s="15"/>
      <c r="E200" s="15"/>
    </row>
    <row r="201">
      <c r="B201" s="15"/>
      <c r="E201" s="15"/>
    </row>
    <row r="202">
      <c r="B202" s="15"/>
      <c r="E202" s="15"/>
    </row>
    <row r="203">
      <c r="B203" s="15"/>
      <c r="E203" s="15"/>
    </row>
    <row r="204">
      <c r="B204" s="15"/>
      <c r="E204" s="15"/>
    </row>
    <row r="205">
      <c r="B205" s="15"/>
      <c r="E205" s="15"/>
    </row>
    <row r="206">
      <c r="B206" s="15"/>
      <c r="E206" s="15"/>
    </row>
    <row r="207">
      <c r="B207" s="15"/>
      <c r="E207" s="15"/>
    </row>
    <row r="208">
      <c r="B208" s="15"/>
      <c r="E208" s="15"/>
    </row>
    <row r="209">
      <c r="B209" s="15"/>
      <c r="E209" s="15"/>
    </row>
    <row r="210">
      <c r="B210" s="15"/>
      <c r="E210" s="15"/>
    </row>
    <row r="211">
      <c r="B211" s="15"/>
      <c r="E211" s="15"/>
    </row>
    <row r="212">
      <c r="B212" s="15"/>
      <c r="E212" s="15"/>
    </row>
    <row r="213">
      <c r="B213" s="15"/>
      <c r="E213" s="15"/>
    </row>
    <row r="214">
      <c r="B214" s="15"/>
      <c r="E214" s="15"/>
    </row>
    <row r="215">
      <c r="B215" s="15"/>
      <c r="E215" s="15"/>
    </row>
    <row r="216">
      <c r="B216" s="15"/>
      <c r="E216" s="15"/>
    </row>
    <row r="217">
      <c r="B217" s="15"/>
      <c r="E217" s="15"/>
    </row>
    <row r="218">
      <c r="B218" s="15"/>
      <c r="E218" s="15"/>
    </row>
    <row r="219">
      <c r="B219" s="15"/>
      <c r="E219" s="15"/>
    </row>
    <row r="220">
      <c r="B220" s="15"/>
      <c r="E220" s="15"/>
    </row>
    <row r="221">
      <c r="B221" s="15"/>
      <c r="E221" s="15"/>
    </row>
    <row r="222">
      <c r="B222" s="15"/>
      <c r="E222" s="15"/>
    </row>
    <row r="223">
      <c r="B223" s="15"/>
      <c r="E223" s="15"/>
    </row>
    <row r="224">
      <c r="B224" s="15"/>
      <c r="E224" s="15"/>
    </row>
    <row r="225">
      <c r="B225" s="15"/>
      <c r="E225" s="15"/>
    </row>
    <row r="226">
      <c r="B226" s="15"/>
      <c r="E226" s="15"/>
    </row>
    <row r="227">
      <c r="B227" s="15"/>
      <c r="E227" s="15"/>
    </row>
    <row r="228">
      <c r="B228" s="15"/>
      <c r="E228" s="15"/>
    </row>
    <row r="229">
      <c r="B229" s="15"/>
      <c r="E229" s="15"/>
    </row>
    <row r="230">
      <c r="B230" s="15"/>
      <c r="E230" s="15"/>
    </row>
    <row r="231">
      <c r="B231" s="15"/>
      <c r="E231" s="15"/>
    </row>
    <row r="232">
      <c r="B232" s="15"/>
      <c r="E232" s="15"/>
    </row>
    <row r="233">
      <c r="B233" s="15"/>
      <c r="E233" s="15"/>
    </row>
    <row r="234">
      <c r="B234" s="15"/>
      <c r="E234" s="15"/>
    </row>
    <row r="235">
      <c r="B235" s="15"/>
      <c r="E235" s="15"/>
    </row>
    <row r="236">
      <c r="B236" s="15"/>
      <c r="E236" s="15"/>
    </row>
    <row r="237">
      <c r="B237" s="15"/>
      <c r="E237" s="15"/>
    </row>
    <row r="238">
      <c r="B238" s="15"/>
      <c r="E238" s="15"/>
    </row>
    <row r="239">
      <c r="B239" s="15"/>
      <c r="E239" s="15"/>
    </row>
    <row r="240">
      <c r="B240" s="15"/>
      <c r="E240" s="15"/>
    </row>
    <row r="241">
      <c r="B241" s="15"/>
      <c r="E241" s="15"/>
    </row>
    <row r="242">
      <c r="B242" s="15"/>
      <c r="E242" s="15"/>
    </row>
    <row r="243">
      <c r="B243" s="15"/>
      <c r="E243" s="15"/>
    </row>
    <row r="244">
      <c r="B244" s="15"/>
      <c r="E244" s="15"/>
    </row>
    <row r="245">
      <c r="B245" s="15"/>
      <c r="E245" s="15"/>
    </row>
    <row r="246">
      <c r="B246" s="15"/>
      <c r="E246" s="15"/>
    </row>
    <row r="247">
      <c r="B247" s="15"/>
      <c r="E247" s="15"/>
    </row>
    <row r="248">
      <c r="B248" s="15"/>
      <c r="E248" s="15"/>
    </row>
    <row r="249">
      <c r="B249" s="15"/>
      <c r="E249" s="15"/>
    </row>
    <row r="250">
      <c r="B250" s="15"/>
      <c r="E250" s="15"/>
    </row>
    <row r="251">
      <c r="B251" s="15"/>
      <c r="E251" s="15"/>
    </row>
    <row r="252">
      <c r="B252" s="15"/>
      <c r="E252" s="15"/>
    </row>
    <row r="253">
      <c r="B253" s="15"/>
      <c r="E253" s="15"/>
    </row>
    <row r="254">
      <c r="B254" s="15"/>
      <c r="E254" s="15"/>
    </row>
    <row r="255">
      <c r="B255" s="15"/>
      <c r="E255" s="15"/>
    </row>
    <row r="256">
      <c r="B256" s="15"/>
      <c r="E256" s="15"/>
    </row>
    <row r="257">
      <c r="B257" s="15"/>
      <c r="E257" s="15"/>
    </row>
    <row r="258">
      <c r="B258" s="15"/>
      <c r="E258" s="15"/>
    </row>
    <row r="259">
      <c r="B259" s="15"/>
      <c r="E259" s="15"/>
    </row>
    <row r="260">
      <c r="B260" s="15"/>
      <c r="E260" s="15"/>
    </row>
    <row r="261">
      <c r="B261" s="15"/>
      <c r="E261" s="15"/>
    </row>
    <row r="262">
      <c r="B262" s="15"/>
      <c r="E262" s="15"/>
    </row>
    <row r="263">
      <c r="B263" s="15"/>
      <c r="E263" s="15"/>
    </row>
    <row r="264">
      <c r="B264" s="15"/>
      <c r="E264" s="15"/>
    </row>
    <row r="265">
      <c r="B265" s="15"/>
      <c r="E265" s="15"/>
    </row>
    <row r="266">
      <c r="B266" s="15"/>
      <c r="E266" s="15"/>
    </row>
    <row r="267">
      <c r="B267" s="15"/>
      <c r="E267" s="15"/>
    </row>
    <row r="268">
      <c r="B268" s="15"/>
      <c r="E268" s="15"/>
    </row>
    <row r="269">
      <c r="B269" s="15"/>
      <c r="E269" s="15"/>
    </row>
    <row r="270">
      <c r="B270" s="15"/>
      <c r="E270" s="15"/>
    </row>
    <row r="271">
      <c r="B271" s="15"/>
      <c r="E271" s="15"/>
    </row>
    <row r="272">
      <c r="B272" s="15"/>
      <c r="E272" s="15"/>
    </row>
    <row r="273">
      <c r="B273" s="15"/>
      <c r="E273" s="15"/>
    </row>
    <row r="274">
      <c r="B274" s="15"/>
      <c r="E274" s="15"/>
    </row>
    <row r="275">
      <c r="B275" s="15"/>
      <c r="E275" s="15"/>
    </row>
    <row r="276">
      <c r="B276" s="15"/>
      <c r="E276" s="15"/>
    </row>
    <row r="277">
      <c r="B277" s="15"/>
      <c r="E277" s="15"/>
    </row>
    <row r="278">
      <c r="B278" s="15"/>
      <c r="E278" s="15"/>
    </row>
    <row r="279">
      <c r="B279" s="15"/>
      <c r="E279" s="15"/>
    </row>
    <row r="280">
      <c r="B280" s="15"/>
      <c r="E280" s="15"/>
    </row>
    <row r="281">
      <c r="B281" s="15"/>
      <c r="E281" s="15"/>
    </row>
    <row r="282">
      <c r="B282" s="15"/>
      <c r="E282" s="15"/>
    </row>
    <row r="283">
      <c r="B283" s="15"/>
      <c r="E283" s="15"/>
    </row>
    <row r="284">
      <c r="B284" s="15"/>
      <c r="E284" s="15"/>
    </row>
    <row r="285">
      <c r="B285" s="15"/>
      <c r="E285" s="15"/>
    </row>
    <row r="286">
      <c r="B286" s="15"/>
      <c r="E286" s="15"/>
    </row>
    <row r="287">
      <c r="B287" s="15"/>
      <c r="E287" s="15"/>
    </row>
    <row r="288">
      <c r="B288" s="15"/>
      <c r="E288" s="15"/>
    </row>
    <row r="289">
      <c r="B289" s="15"/>
      <c r="E289" s="15"/>
    </row>
    <row r="290">
      <c r="B290" s="15"/>
      <c r="E290" s="15"/>
    </row>
    <row r="291">
      <c r="B291" s="15"/>
      <c r="E291" s="15"/>
    </row>
    <row r="292">
      <c r="B292" s="15"/>
      <c r="E292" s="15"/>
    </row>
    <row r="293">
      <c r="B293" s="15"/>
      <c r="E293" s="15"/>
    </row>
    <row r="294">
      <c r="B294" s="15"/>
      <c r="E294" s="15"/>
    </row>
    <row r="295">
      <c r="B295" s="15"/>
      <c r="E295" s="15"/>
    </row>
    <row r="296">
      <c r="B296" s="15"/>
      <c r="E296" s="15"/>
    </row>
    <row r="297">
      <c r="B297" s="15"/>
      <c r="E297" s="15"/>
    </row>
    <row r="298">
      <c r="B298" s="15"/>
      <c r="E298" s="15"/>
    </row>
    <row r="299">
      <c r="B299" s="15"/>
      <c r="E299" s="15"/>
    </row>
    <row r="300">
      <c r="B300" s="15"/>
      <c r="E300" s="15"/>
    </row>
    <row r="301">
      <c r="B301" s="15"/>
      <c r="E301" s="15"/>
    </row>
    <row r="302">
      <c r="B302" s="15"/>
      <c r="E302" s="15"/>
    </row>
    <row r="303">
      <c r="B303" s="15"/>
      <c r="E303" s="15"/>
    </row>
    <row r="304">
      <c r="B304" s="15"/>
      <c r="E304" s="15"/>
    </row>
    <row r="305">
      <c r="B305" s="15"/>
      <c r="E305" s="15"/>
    </row>
    <row r="306">
      <c r="B306" s="15"/>
      <c r="E306" s="15"/>
    </row>
    <row r="307">
      <c r="B307" s="15"/>
      <c r="E307" s="15"/>
    </row>
    <row r="308">
      <c r="B308" s="15"/>
      <c r="E308" s="15"/>
    </row>
    <row r="309">
      <c r="B309" s="15"/>
      <c r="E309" s="15"/>
    </row>
    <row r="310">
      <c r="B310" s="15"/>
      <c r="E310" s="15"/>
    </row>
    <row r="311">
      <c r="B311" s="15"/>
      <c r="E311" s="15"/>
    </row>
    <row r="312">
      <c r="B312" s="15"/>
      <c r="E312" s="15"/>
    </row>
    <row r="313">
      <c r="B313" s="15"/>
      <c r="E313" s="15"/>
    </row>
    <row r="314">
      <c r="B314" s="15"/>
      <c r="E314" s="15"/>
    </row>
    <row r="315">
      <c r="B315" s="15"/>
      <c r="E315" s="15"/>
    </row>
    <row r="316">
      <c r="B316" s="15"/>
      <c r="E316" s="15"/>
    </row>
    <row r="317">
      <c r="B317" s="15"/>
      <c r="E317" s="15"/>
    </row>
    <row r="318">
      <c r="B318" s="15"/>
      <c r="E318" s="15"/>
    </row>
    <row r="319">
      <c r="B319" s="15"/>
      <c r="E319" s="15"/>
    </row>
    <row r="320">
      <c r="B320" s="15"/>
      <c r="E320" s="15"/>
    </row>
    <row r="321">
      <c r="B321" s="15"/>
      <c r="E321" s="15"/>
    </row>
    <row r="322">
      <c r="B322" s="15"/>
      <c r="E322" s="15"/>
    </row>
    <row r="323">
      <c r="B323" s="15"/>
      <c r="E323" s="15"/>
    </row>
    <row r="324">
      <c r="B324" s="15"/>
      <c r="E324" s="15"/>
    </row>
    <row r="325">
      <c r="B325" s="15"/>
      <c r="E325" s="15"/>
    </row>
    <row r="326">
      <c r="B326" s="15"/>
      <c r="E326" s="15"/>
    </row>
    <row r="327">
      <c r="B327" s="15"/>
      <c r="E327" s="15"/>
    </row>
    <row r="328">
      <c r="B328" s="15"/>
      <c r="E328" s="15"/>
    </row>
    <row r="329">
      <c r="B329" s="15"/>
      <c r="E329" s="15"/>
    </row>
    <row r="330">
      <c r="B330" s="15"/>
      <c r="E330" s="15"/>
    </row>
    <row r="331">
      <c r="B331" s="15"/>
      <c r="E331" s="15"/>
    </row>
    <row r="332">
      <c r="B332" s="15"/>
      <c r="E332" s="15"/>
    </row>
    <row r="333">
      <c r="B333" s="15"/>
      <c r="E333" s="15"/>
    </row>
    <row r="334">
      <c r="B334" s="15"/>
      <c r="E334" s="15"/>
    </row>
    <row r="335">
      <c r="B335" s="15"/>
      <c r="E335" s="15"/>
    </row>
    <row r="336">
      <c r="B336" s="15"/>
      <c r="E336" s="15"/>
    </row>
    <row r="337">
      <c r="B337" s="15"/>
      <c r="E337" s="15"/>
    </row>
    <row r="338">
      <c r="B338" s="15"/>
      <c r="E338" s="15"/>
    </row>
    <row r="339">
      <c r="B339" s="15"/>
      <c r="E339" s="15"/>
    </row>
    <row r="340">
      <c r="B340" s="15"/>
      <c r="E340" s="15"/>
    </row>
    <row r="341">
      <c r="B341" s="15"/>
      <c r="E341" s="15"/>
    </row>
    <row r="342">
      <c r="B342" s="15"/>
      <c r="E342" s="15"/>
    </row>
    <row r="343">
      <c r="B343" s="15"/>
      <c r="E343" s="15"/>
    </row>
    <row r="344">
      <c r="B344" s="15"/>
      <c r="E344" s="15"/>
    </row>
    <row r="345">
      <c r="B345" s="15"/>
      <c r="E345" s="15"/>
    </row>
    <row r="346">
      <c r="B346" s="15"/>
      <c r="E346" s="15"/>
    </row>
    <row r="347">
      <c r="B347" s="15"/>
      <c r="E347" s="15"/>
    </row>
    <row r="348">
      <c r="B348" s="15"/>
      <c r="E348" s="15"/>
    </row>
    <row r="349">
      <c r="B349" s="15"/>
      <c r="E349" s="15"/>
    </row>
    <row r="350">
      <c r="B350" s="15"/>
      <c r="E350" s="15"/>
    </row>
    <row r="351">
      <c r="B351" s="15"/>
      <c r="E351" s="15"/>
    </row>
    <row r="352">
      <c r="B352" s="15"/>
      <c r="E352" s="15"/>
    </row>
    <row r="353">
      <c r="B353" s="15"/>
      <c r="E353" s="15"/>
    </row>
    <row r="354">
      <c r="B354" s="15"/>
      <c r="E354" s="15"/>
    </row>
    <row r="355">
      <c r="B355" s="15"/>
      <c r="E355" s="15"/>
    </row>
    <row r="356">
      <c r="B356" s="15"/>
      <c r="E356" s="15"/>
    </row>
    <row r="357">
      <c r="B357" s="15"/>
      <c r="E357" s="15"/>
    </row>
    <row r="358">
      <c r="B358" s="15"/>
      <c r="E358" s="15"/>
    </row>
    <row r="359">
      <c r="B359" s="15"/>
      <c r="E359" s="15"/>
    </row>
    <row r="360">
      <c r="B360" s="15"/>
      <c r="E360" s="15"/>
    </row>
    <row r="361">
      <c r="B361" s="15"/>
      <c r="E361" s="15"/>
    </row>
    <row r="362">
      <c r="B362" s="15"/>
      <c r="E362" s="15"/>
    </row>
    <row r="363">
      <c r="B363" s="15"/>
      <c r="E363" s="15"/>
    </row>
    <row r="364">
      <c r="B364" s="15"/>
      <c r="E364" s="15"/>
    </row>
    <row r="365">
      <c r="B365" s="15"/>
      <c r="E365" s="15"/>
    </row>
    <row r="366">
      <c r="B366" s="15"/>
      <c r="E366" s="15"/>
    </row>
    <row r="367">
      <c r="B367" s="15"/>
      <c r="E367" s="15"/>
    </row>
    <row r="368">
      <c r="B368" s="15"/>
      <c r="E368" s="15"/>
    </row>
    <row r="369">
      <c r="B369" s="15"/>
      <c r="E369" s="15"/>
    </row>
    <row r="370">
      <c r="B370" s="15"/>
      <c r="E370" s="15"/>
    </row>
    <row r="371">
      <c r="B371" s="15"/>
      <c r="E371" s="15"/>
    </row>
    <row r="372">
      <c r="B372" s="15"/>
      <c r="E372" s="15"/>
    </row>
    <row r="373">
      <c r="B373" s="15"/>
      <c r="E373" s="15"/>
    </row>
    <row r="374">
      <c r="B374" s="15"/>
      <c r="E374" s="15"/>
    </row>
    <row r="375">
      <c r="B375" s="15"/>
      <c r="E375" s="15"/>
    </row>
    <row r="376">
      <c r="B376" s="15"/>
      <c r="E376" s="15"/>
    </row>
    <row r="377">
      <c r="B377" s="15"/>
      <c r="E377" s="15"/>
    </row>
    <row r="378">
      <c r="B378" s="15"/>
      <c r="E378" s="15"/>
    </row>
    <row r="379">
      <c r="B379" s="15"/>
      <c r="E379" s="15"/>
    </row>
    <row r="380">
      <c r="B380" s="15"/>
      <c r="E380" s="15"/>
    </row>
    <row r="381">
      <c r="B381" s="15"/>
      <c r="E381" s="15"/>
    </row>
    <row r="382">
      <c r="B382" s="15"/>
      <c r="E382" s="15"/>
    </row>
    <row r="383">
      <c r="B383" s="15"/>
      <c r="E383" s="15"/>
    </row>
    <row r="384">
      <c r="B384" s="15"/>
      <c r="E384" s="15"/>
    </row>
    <row r="385">
      <c r="B385" s="15"/>
      <c r="E385" s="15"/>
    </row>
    <row r="386">
      <c r="B386" s="15"/>
      <c r="E386" s="15"/>
    </row>
    <row r="387">
      <c r="B387" s="15"/>
      <c r="E387" s="15"/>
    </row>
    <row r="388">
      <c r="B388" s="15"/>
      <c r="E388" s="15"/>
    </row>
    <row r="389">
      <c r="B389" s="15"/>
      <c r="E389" s="15"/>
    </row>
    <row r="390">
      <c r="B390" s="15"/>
      <c r="E390" s="15"/>
    </row>
    <row r="391">
      <c r="B391" s="15"/>
      <c r="E391" s="15"/>
    </row>
    <row r="392">
      <c r="B392" s="15"/>
      <c r="E392" s="15"/>
    </row>
    <row r="393">
      <c r="B393" s="15"/>
      <c r="E393" s="15"/>
    </row>
    <row r="394">
      <c r="B394" s="15"/>
      <c r="E394" s="15"/>
    </row>
    <row r="395">
      <c r="B395" s="15"/>
      <c r="E395" s="15"/>
    </row>
    <row r="396">
      <c r="B396" s="15"/>
      <c r="E396" s="15"/>
    </row>
    <row r="397">
      <c r="B397" s="15"/>
      <c r="E397" s="15"/>
    </row>
    <row r="398">
      <c r="B398" s="15"/>
      <c r="E398" s="15"/>
    </row>
    <row r="399">
      <c r="B399" s="15"/>
      <c r="E399" s="15"/>
    </row>
    <row r="400">
      <c r="B400" s="15"/>
      <c r="E400" s="15"/>
    </row>
    <row r="401">
      <c r="B401" s="15"/>
      <c r="E401" s="15"/>
    </row>
    <row r="402">
      <c r="B402" s="15"/>
      <c r="E402" s="15"/>
    </row>
    <row r="403">
      <c r="B403" s="15"/>
      <c r="E403" s="15"/>
    </row>
    <row r="404">
      <c r="B404" s="15"/>
      <c r="E404" s="15"/>
    </row>
    <row r="405">
      <c r="B405" s="15"/>
      <c r="E405" s="15"/>
    </row>
    <row r="406">
      <c r="B406" s="15"/>
      <c r="E406" s="15"/>
    </row>
    <row r="407">
      <c r="B407" s="15"/>
      <c r="E407" s="15"/>
    </row>
    <row r="408">
      <c r="B408" s="15"/>
      <c r="E408" s="15"/>
    </row>
    <row r="409">
      <c r="B409" s="15"/>
      <c r="E409" s="15"/>
    </row>
    <row r="410">
      <c r="B410" s="15"/>
      <c r="E410" s="15"/>
    </row>
    <row r="411">
      <c r="B411" s="15"/>
      <c r="E411" s="15"/>
    </row>
    <row r="412">
      <c r="B412" s="15"/>
      <c r="E412" s="15"/>
    </row>
    <row r="413">
      <c r="B413" s="15"/>
      <c r="E413" s="15"/>
    </row>
    <row r="414">
      <c r="B414" s="15"/>
      <c r="E414" s="15"/>
    </row>
    <row r="415">
      <c r="B415" s="15"/>
      <c r="E415" s="15"/>
    </row>
    <row r="416">
      <c r="B416" s="15"/>
      <c r="E416" s="15"/>
    </row>
    <row r="417">
      <c r="B417" s="15"/>
      <c r="E417" s="15"/>
    </row>
    <row r="418">
      <c r="B418" s="15"/>
      <c r="E418" s="15"/>
    </row>
    <row r="419">
      <c r="B419" s="15"/>
      <c r="E419" s="15"/>
    </row>
    <row r="420">
      <c r="B420" s="15"/>
      <c r="E420" s="15"/>
    </row>
    <row r="421">
      <c r="B421" s="15"/>
      <c r="E421" s="15"/>
    </row>
    <row r="422">
      <c r="B422" s="15"/>
      <c r="E422" s="15"/>
    </row>
    <row r="423">
      <c r="B423" s="15"/>
      <c r="E423" s="15"/>
    </row>
    <row r="424">
      <c r="B424" s="15"/>
      <c r="E424" s="15"/>
    </row>
    <row r="425">
      <c r="B425" s="15"/>
      <c r="E425" s="15"/>
    </row>
    <row r="426">
      <c r="B426" s="15"/>
      <c r="E426" s="15"/>
    </row>
    <row r="427">
      <c r="B427" s="15"/>
      <c r="E427" s="15"/>
    </row>
    <row r="428">
      <c r="B428" s="15"/>
      <c r="E428" s="15"/>
    </row>
    <row r="429">
      <c r="B429" s="15"/>
      <c r="E429" s="15"/>
    </row>
    <row r="430">
      <c r="B430" s="15"/>
      <c r="E430" s="15"/>
    </row>
    <row r="431">
      <c r="B431" s="15"/>
      <c r="E431" s="15"/>
    </row>
    <row r="432">
      <c r="B432" s="15"/>
      <c r="E432" s="15"/>
    </row>
    <row r="433">
      <c r="B433" s="15"/>
      <c r="E433" s="15"/>
    </row>
    <row r="434">
      <c r="B434" s="15"/>
      <c r="E434" s="15"/>
    </row>
    <row r="435">
      <c r="B435" s="15"/>
      <c r="E435" s="15"/>
    </row>
    <row r="436">
      <c r="B436" s="15"/>
      <c r="E436" s="15"/>
    </row>
    <row r="437">
      <c r="B437" s="15"/>
      <c r="E437" s="15"/>
    </row>
    <row r="438">
      <c r="B438" s="15"/>
      <c r="E438" s="15"/>
    </row>
    <row r="439">
      <c r="B439" s="15"/>
      <c r="E439" s="15"/>
    </row>
    <row r="440">
      <c r="B440" s="15"/>
      <c r="E440" s="15"/>
    </row>
    <row r="441">
      <c r="B441" s="15"/>
      <c r="E441" s="15"/>
    </row>
    <row r="442">
      <c r="B442" s="15"/>
      <c r="E442" s="15"/>
    </row>
    <row r="443">
      <c r="B443" s="15"/>
      <c r="E443" s="15"/>
    </row>
    <row r="444">
      <c r="B444" s="15"/>
      <c r="E444" s="15"/>
    </row>
    <row r="445">
      <c r="B445" s="15"/>
      <c r="E445" s="15"/>
    </row>
    <row r="446">
      <c r="B446" s="15"/>
      <c r="E446" s="15"/>
    </row>
    <row r="447">
      <c r="B447" s="15"/>
      <c r="E447" s="15"/>
    </row>
    <row r="448">
      <c r="B448" s="15"/>
      <c r="E448" s="15"/>
    </row>
    <row r="449">
      <c r="B449" s="15"/>
      <c r="E449" s="15"/>
    </row>
    <row r="450">
      <c r="B450" s="15"/>
      <c r="E450" s="15"/>
    </row>
    <row r="451">
      <c r="B451" s="15"/>
      <c r="E451" s="15"/>
    </row>
    <row r="452">
      <c r="B452" s="15"/>
      <c r="E452" s="15"/>
    </row>
    <row r="453">
      <c r="B453" s="15"/>
      <c r="E453" s="15"/>
    </row>
    <row r="454">
      <c r="B454" s="15"/>
      <c r="E454" s="15"/>
    </row>
    <row r="455">
      <c r="B455" s="15"/>
      <c r="E455" s="15"/>
    </row>
    <row r="456">
      <c r="B456" s="15"/>
      <c r="E456" s="15"/>
    </row>
    <row r="457">
      <c r="B457" s="15"/>
      <c r="E457" s="15"/>
    </row>
    <row r="458">
      <c r="B458" s="15"/>
      <c r="E458" s="15"/>
    </row>
    <row r="459">
      <c r="B459" s="15"/>
      <c r="E459" s="15"/>
    </row>
    <row r="460">
      <c r="B460" s="15"/>
      <c r="E460" s="15"/>
    </row>
    <row r="461">
      <c r="B461" s="15"/>
      <c r="E461" s="15"/>
    </row>
    <row r="462">
      <c r="B462" s="15"/>
      <c r="E462" s="15"/>
    </row>
    <row r="463">
      <c r="B463" s="15"/>
      <c r="E463" s="15"/>
    </row>
    <row r="464">
      <c r="B464" s="15"/>
      <c r="E464" s="15"/>
    </row>
    <row r="465">
      <c r="B465" s="15"/>
      <c r="E465" s="15"/>
    </row>
    <row r="466">
      <c r="B466" s="15"/>
      <c r="E466" s="15"/>
    </row>
    <row r="467">
      <c r="B467" s="15"/>
      <c r="E467" s="15"/>
    </row>
    <row r="468">
      <c r="B468" s="15"/>
      <c r="E468" s="15"/>
    </row>
    <row r="469">
      <c r="B469" s="15"/>
      <c r="E469" s="15"/>
    </row>
    <row r="470">
      <c r="B470" s="15"/>
      <c r="E470" s="15"/>
    </row>
    <row r="471">
      <c r="B471" s="15"/>
      <c r="E471" s="15"/>
    </row>
    <row r="472">
      <c r="B472" s="15"/>
      <c r="E472" s="15"/>
    </row>
    <row r="473">
      <c r="B473" s="15"/>
      <c r="E473" s="15"/>
    </row>
    <row r="474">
      <c r="B474" s="15"/>
      <c r="E474" s="15"/>
    </row>
    <row r="475">
      <c r="B475" s="15"/>
      <c r="E475" s="15"/>
    </row>
    <row r="476">
      <c r="B476" s="15"/>
      <c r="E476" s="15"/>
    </row>
    <row r="477">
      <c r="B477" s="15"/>
      <c r="E477" s="15"/>
    </row>
    <row r="478">
      <c r="B478" s="15"/>
      <c r="E478" s="15"/>
    </row>
    <row r="479">
      <c r="B479" s="15"/>
      <c r="E479" s="15"/>
    </row>
    <row r="480">
      <c r="B480" s="15"/>
      <c r="E480" s="15"/>
    </row>
    <row r="481">
      <c r="B481" s="15"/>
      <c r="E481" s="15"/>
    </row>
    <row r="482">
      <c r="B482" s="15"/>
      <c r="E482" s="15"/>
    </row>
    <row r="483">
      <c r="B483" s="15"/>
      <c r="E483" s="15"/>
    </row>
    <row r="484">
      <c r="B484" s="15"/>
      <c r="E484" s="15"/>
    </row>
    <row r="485">
      <c r="B485" s="15"/>
      <c r="E485" s="15"/>
    </row>
    <row r="486">
      <c r="B486" s="15"/>
      <c r="E486" s="15"/>
    </row>
    <row r="487">
      <c r="B487" s="15"/>
      <c r="E487" s="15"/>
    </row>
    <row r="488">
      <c r="B488" s="15"/>
      <c r="E488" s="15"/>
    </row>
    <row r="489">
      <c r="B489" s="15"/>
      <c r="E489" s="15"/>
    </row>
    <row r="490">
      <c r="B490" s="15"/>
      <c r="E490" s="15"/>
    </row>
    <row r="491">
      <c r="B491" s="15"/>
      <c r="E491" s="15"/>
    </row>
    <row r="492">
      <c r="B492" s="15"/>
      <c r="E492" s="15"/>
    </row>
    <row r="493">
      <c r="B493" s="15"/>
      <c r="E493" s="15"/>
    </row>
    <row r="494">
      <c r="B494" s="15"/>
      <c r="E494" s="15"/>
    </row>
    <row r="495">
      <c r="B495" s="15"/>
      <c r="E495" s="15"/>
    </row>
    <row r="496">
      <c r="B496" s="15"/>
      <c r="E496" s="15"/>
    </row>
    <row r="497">
      <c r="B497" s="15"/>
      <c r="E497" s="15"/>
    </row>
    <row r="498">
      <c r="B498" s="15"/>
      <c r="E498" s="15"/>
    </row>
    <row r="499">
      <c r="B499" s="15"/>
      <c r="E499" s="15"/>
    </row>
    <row r="500">
      <c r="B500" s="15"/>
      <c r="E500" s="15"/>
    </row>
    <row r="501">
      <c r="B501" s="15"/>
      <c r="E501" s="15"/>
    </row>
    <row r="502">
      <c r="B502" s="15"/>
      <c r="E502" s="15"/>
    </row>
    <row r="503">
      <c r="B503" s="15"/>
      <c r="E503" s="15"/>
    </row>
    <row r="504">
      <c r="B504" s="15"/>
      <c r="E504" s="15"/>
    </row>
    <row r="505">
      <c r="B505" s="15"/>
      <c r="E505" s="15"/>
    </row>
    <row r="506">
      <c r="B506" s="15"/>
      <c r="E506" s="15"/>
    </row>
    <row r="507">
      <c r="B507" s="15"/>
      <c r="E507" s="15"/>
    </row>
    <row r="508">
      <c r="B508" s="15"/>
      <c r="E508" s="15"/>
    </row>
    <row r="509">
      <c r="B509" s="15"/>
      <c r="E509" s="15"/>
    </row>
    <row r="510">
      <c r="B510" s="15"/>
      <c r="E510" s="15"/>
    </row>
    <row r="511">
      <c r="B511" s="15"/>
      <c r="E511" s="15"/>
    </row>
    <row r="512">
      <c r="B512" s="15"/>
      <c r="E512" s="15"/>
    </row>
    <row r="513">
      <c r="B513" s="15"/>
      <c r="E513" s="15"/>
    </row>
    <row r="514">
      <c r="B514" s="15"/>
      <c r="E514" s="15"/>
    </row>
    <row r="515">
      <c r="B515" s="15"/>
      <c r="E515" s="15"/>
    </row>
    <row r="516">
      <c r="B516" s="15"/>
      <c r="E516" s="15"/>
    </row>
    <row r="517">
      <c r="B517" s="15"/>
      <c r="E517" s="15"/>
    </row>
    <row r="518">
      <c r="B518" s="15"/>
      <c r="E518" s="15"/>
    </row>
    <row r="519">
      <c r="B519" s="15"/>
      <c r="E519" s="15"/>
    </row>
    <row r="520">
      <c r="B520" s="15"/>
      <c r="E520" s="15"/>
    </row>
    <row r="521">
      <c r="B521" s="15"/>
      <c r="E521" s="15"/>
    </row>
    <row r="522">
      <c r="B522" s="15"/>
      <c r="E522" s="15"/>
    </row>
    <row r="523">
      <c r="B523" s="15"/>
      <c r="E523" s="15"/>
    </row>
    <row r="524">
      <c r="B524" s="15"/>
      <c r="E524" s="15"/>
    </row>
    <row r="525">
      <c r="B525" s="15"/>
      <c r="E525" s="15"/>
    </row>
    <row r="526">
      <c r="B526" s="15"/>
      <c r="E526" s="15"/>
    </row>
    <row r="527">
      <c r="B527" s="15"/>
      <c r="E527" s="15"/>
    </row>
    <row r="528">
      <c r="B528" s="15"/>
      <c r="E528" s="15"/>
    </row>
    <row r="529">
      <c r="B529" s="15"/>
      <c r="E529" s="15"/>
    </row>
    <row r="530">
      <c r="B530" s="15"/>
      <c r="E530" s="15"/>
    </row>
    <row r="531">
      <c r="B531" s="15"/>
      <c r="E531" s="15"/>
    </row>
    <row r="532">
      <c r="B532" s="15"/>
      <c r="E532" s="15"/>
    </row>
    <row r="533">
      <c r="B533" s="15"/>
      <c r="E533" s="15"/>
    </row>
    <row r="534">
      <c r="B534" s="15"/>
      <c r="E534" s="15"/>
    </row>
    <row r="535">
      <c r="B535" s="15"/>
      <c r="E535" s="15"/>
    </row>
    <row r="536">
      <c r="B536" s="15"/>
      <c r="E536" s="15"/>
    </row>
    <row r="537">
      <c r="B537" s="15"/>
      <c r="E537" s="15"/>
    </row>
    <row r="538">
      <c r="B538" s="15"/>
      <c r="E538" s="15"/>
    </row>
    <row r="539">
      <c r="B539" s="15"/>
      <c r="E539" s="15"/>
    </row>
    <row r="540">
      <c r="B540" s="15"/>
      <c r="E540" s="15"/>
    </row>
    <row r="541">
      <c r="B541" s="15"/>
      <c r="E541" s="15"/>
    </row>
    <row r="542">
      <c r="B542" s="15"/>
      <c r="E542" s="15"/>
    </row>
    <row r="543">
      <c r="B543" s="15"/>
      <c r="E543" s="15"/>
    </row>
    <row r="544">
      <c r="B544" s="15"/>
      <c r="E544" s="15"/>
    </row>
    <row r="545">
      <c r="B545" s="15"/>
      <c r="E545" s="15"/>
    </row>
    <row r="546">
      <c r="B546" s="15"/>
      <c r="E546" s="15"/>
    </row>
    <row r="547">
      <c r="B547" s="15"/>
      <c r="E547" s="15"/>
    </row>
    <row r="548">
      <c r="B548" s="15"/>
      <c r="E548" s="15"/>
    </row>
    <row r="549">
      <c r="B549" s="15"/>
      <c r="E549" s="15"/>
    </row>
    <row r="550">
      <c r="B550" s="15"/>
      <c r="E550" s="15"/>
    </row>
    <row r="551">
      <c r="B551" s="15"/>
      <c r="E551" s="15"/>
    </row>
    <row r="552">
      <c r="B552" s="15"/>
      <c r="E552" s="15"/>
    </row>
    <row r="553">
      <c r="B553" s="15"/>
      <c r="E553" s="15"/>
    </row>
    <row r="554">
      <c r="B554" s="15"/>
      <c r="E554" s="15"/>
    </row>
    <row r="555">
      <c r="B555" s="15"/>
      <c r="E555" s="15"/>
    </row>
    <row r="556">
      <c r="B556" s="15"/>
      <c r="E556" s="15"/>
    </row>
    <row r="557">
      <c r="B557" s="15"/>
      <c r="E557" s="15"/>
    </row>
    <row r="558">
      <c r="B558" s="15"/>
      <c r="E558" s="15"/>
    </row>
    <row r="559">
      <c r="B559" s="15"/>
      <c r="E559" s="15"/>
    </row>
    <row r="560">
      <c r="B560" s="15"/>
      <c r="E560" s="15"/>
    </row>
    <row r="561">
      <c r="B561" s="15"/>
      <c r="E561" s="15"/>
    </row>
    <row r="562">
      <c r="B562" s="15"/>
      <c r="E562" s="15"/>
    </row>
    <row r="563">
      <c r="B563" s="15"/>
      <c r="E563" s="15"/>
    </row>
    <row r="564">
      <c r="B564" s="15"/>
      <c r="E564" s="15"/>
    </row>
    <row r="565">
      <c r="B565" s="15"/>
      <c r="E565" s="15"/>
    </row>
    <row r="566">
      <c r="B566" s="15"/>
      <c r="E566" s="15"/>
    </row>
    <row r="567">
      <c r="B567" s="15"/>
      <c r="E567" s="15"/>
    </row>
    <row r="568">
      <c r="B568" s="15"/>
      <c r="E568" s="15"/>
    </row>
    <row r="569">
      <c r="B569" s="15"/>
      <c r="E569" s="15"/>
    </row>
    <row r="570">
      <c r="B570" s="15"/>
      <c r="E570" s="15"/>
    </row>
    <row r="571">
      <c r="B571" s="15"/>
      <c r="E571" s="15"/>
    </row>
    <row r="572">
      <c r="B572" s="15"/>
      <c r="E572" s="15"/>
    </row>
    <row r="573">
      <c r="B573" s="15"/>
      <c r="E573" s="15"/>
    </row>
    <row r="574">
      <c r="B574" s="15"/>
      <c r="E574" s="15"/>
    </row>
    <row r="575">
      <c r="B575" s="15"/>
      <c r="E575" s="15"/>
    </row>
    <row r="576">
      <c r="B576" s="15"/>
      <c r="E576" s="15"/>
    </row>
    <row r="577">
      <c r="B577" s="15"/>
      <c r="E577" s="15"/>
    </row>
    <row r="578">
      <c r="B578" s="15"/>
      <c r="E578" s="15"/>
    </row>
    <row r="579">
      <c r="B579" s="15"/>
      <c r="E579" s="15"/>
    </row>
    <row r="580">
      <c r="B580" s="15"/>
      <c r="E580" s="15"/>
    </row>
    <row r="581">
      <c r="B581" s="15"/>
      <c r="E581" s="15"/>
    </row>
    <row r="582">
      <c r="B582" s="15"/>
      <c r="E582" s="15"/>
    </row>
    <row r="583">
      <c r="B583" s="15"/>
      <c r="E583" s="15"/>
    </row>
    <row r="584">
      <c r="B584" s="15"/>
      <c r="E584" s="15"/>
    </row>
    <row r="585">
      <c r="B585" s="15"/>
      <c r="E585" s="15"/>
    </row>
    <row r="586">
      <c r="B586" s="15"/>
      <c r="E586" s="15"/>
    </row>
    <row r="587">
      <c r="B587" s="15"/>
      <c r="E587" s="15"/>
    </row>
    <row r="588">
      <c r="B588" s="15"/>
      <c r="E588" s="15"/>
    </row>
    <row r="589">
      <c r="B589" s="15"/>
      <c r="E589" s="15"/>
    </row>
    <row r="590">
      <c r="B590" s="15"/>
      <c r="E590" s="15"/>
    </row>
    <row r="591">
      <c r="B591" s="15"/>
      <c r="E591" s="15"/>
    </row>
    <row r="592">
      <c r="B592" s="15"/>
      <c r="E592" s="15"/>
    </row>
    <row r="593">
      <c r="B593" s="15"/>
      <c r="E593" s="15"/>
    </row>
    <row r="594">
      <c r="B594" s="15"/>
      <c r="E594" s="15"/>
    </row>
    <row r="595">
      <c r="B595" s="15"/>
      <c r="E595" s="15"/>
    </row>
    <row r="596">
      <c r="B596" s="15"/>
      <c r="E596" s="15"/>
    </row>
    <row r="597">
      <c r="B597" s="15"/>
      <c r="E597" s="15"/>
    </row>
    <row r="598">
      <c r="B598" s="15"/>
      <c r="E598" s="15"/>
    </row>
    <row r="599">
      <c r="B599" s="15"/>
      <c r="E599" s="15"/>
    </row>
    <row r="600">
      <c r="B600" s="15"/>
      <c r="E600" s="15"/>
    </row>
    <row r="601">
      <c r="B601" s="15"/>
      <c r="E601" s="15"/>
    </row>
    <row r="602">
      <c r="B602" s="15"/>
      <c r="E602" s="15"/>
    </row>
    <row r="603">
      <c r="B603" s="15"/>
      <c r="E603" s="15"/>
    </row>
    <row r="604">
      <c r="B604" s="15"/>
      <c r="E604" s="15"/>
    </row>
    <row r="605">
      <c r="B605" s="15"/>
      <c r="E605" s="15"/>
    </row>
    <row r="606">
      <c r="B606" s="15"/>
      <c r="E606" s="15"/>
    </row>
    <row r="607">
      <c r="B607" s="15"/>
      <c r="E607" s="15"/>
    </row>
    <row r="608">
      <c r="B608" s="15"/>
      <c r="E608" s="15"/>
    </row>
    <row r="609">
      <c r="B609" s="15"/>
      <c r="E609" s="15"/>
    </row>
    <row r="610">
      <c r="B610" s="15"/>
      <c r="E610" s="15"/>
    </row>
    <row r="611">
      <c r="B611" s="15"/>
      <c r="E611" s="15"/>
    </row>
    <row r="612">
      <c r="B612" s="15"/>
      <c r="E612" s="15"/>
    </row>
    <row r="613">
      <c r="B613" s="15"/>
      <c r="E613" s="15"/>
    </row>
    <row r="614">
      <c r="B614" s="15"/>
      <c r="E614" s="15"/>
    </row>
    <row r="615">
      <c r="B615" s="15"/>
      <c r="E615" s="15"/>
    </row>
    <row r="616">
      <c r="B616" s="15"/>
      <c r="E616" s="15"/>
    </row>
    <row r="617">
      <c r="B617" s="15"/>
      <c r="E617" s="15"/>
    </row>
    <row r="618">
      <c r="B618" s="15"/>
      <c r="E618" s="15"/>
    </row>
    <row r="619">
      <c r="B619" s="15"/>
      <c r="E619" s="15"/>
    </row>
    <row r="620">
      <c r="B620" s="15"/>
      <c r="E620" s="15"/>
    </row>
    <row r="621">
      <c r="B621" s="15"/>
      <c r="E621" s="15"/>
    </row>
    <row r="622">
      <c r="B622" s="15"/>
      <c r="E622" s="15"/>
    </row>
    <row r="623">
      <c r="B623" s="15"/>
      <c r="E623" s="15"/>
    </row>
    <row r="624">
      <c r="B624" s="15"/>
      <c r="E624" s="15"/>
    </row>
    <row r="625">
      <c r="B625" s="15"/>
      <c r="E625" s="15"/>
    </row>
    <row r="626">
      <c r="B626" s="15"/>
      <c r="E626" s="15"/>
    </row>
    <row r="627">
      <c r="B627" s="15"/>
      <c r="E627" s="15"/>
    </row>
    <row r="628">
      <c r="B628" s="15"/>
      <c r="E628" s="15"/>
    </row>
    <row r="629">
      <c r="B629" s="15"/>
      <c r="E629" s="15"/>
    </row>
    <row r="630">
      <c r="B630" s="15"/>
      <c r="E630" s="15"/>
    </row>
    <row r="631">
      <c r="B631" s="15"/>
      <c r="E631" s="15"/>
    </row>
    <row r="632">
      <c r="B632" s="15"/>
      <c r="E632" s="15"/>
    </row>
    <row r="633">
      <c r="B633" s="15"/>
      <c r="E633" s="15"/>
    </row>
    <row r="634">
      <c r="B634" s="15"/>
      <c r="E634" s="15"/>
    </row>
    <row r="635">
      <c r="B635" s="15"/>
      <c r="E635" s="15"/>
    </row>
    <row r="636">
      <c r="B636" s="15"/>
      <c r="E636" s="15"/>
    </row>
    <row r="637">
      <c r="B637" s="15"/>
      <c r="E637" s="15"/>
    </row>
    <row r="638">
      <c r="B638" s="15"/>
      <c r="E638" s="15"/>
    </row>
    <row r="639">
      <c r="B639" s="15"/>
      <c r="E639" s="15"/>
    </row>
    <row r="640">
      <c r="B640" s="15"/>
      <c r="E640" s="15"/>
    </row>
    <row r="641">
      <c r="B641" s="15"/>
      <c r="E641" s="15"/>
    </row>
    <row r="642">
      <c r="B642" s="15"/>
      <c r="E642" s="15"/>
    </row>
    <row r="643">
      <c r="B643" s="15"/>
      <c r="E643" s="15"/>
    </row>
    <row r="644">
      <c r="B644" s="15"/>
      <c r="E644" s="15"/>
    </row>
    <row r="645">
      <c r="B645" s="15"/>
      <c r="E645" s="15"/>
    </row>
    <row r="646">
      <c r="B646" s="15"/>
      <c r="E646" s="15"/>
    </row>
    <row r="647">
      <c r="B647" s="15"/>
      <c r="E647" s="15"/>
    </row>
    <row r="648">
      <c r="B648" s="15"/>
      <c r="E648" s="15"/>
    </row>
    <row r="649">
      <c r="B649" s="15"/>
      <c r="E649" s="15"/>
    </row>
    <row r="650">
      <c r="B650" s="15"/>
      <c r="E650" s="15"/>
    </row>
    <row r="651">
      <c r="B651" s="15"/>
      <c r="E651" s="15"/>
    </row>
    <row r="652">
      <c r="B652" s="15"/>
      <c r="E652" s="15"/>
    </row>
    <row r="653">
      <c r="B653" s="15"/>
      <c r="E653" s="15"/>
    </row>
    <row r="654">
      <c r="B654" s="15"/>
      <c r="E654" s="15"/>
    </row>
    <row r="655">
      <c r="B655" s="15"/>
      <c r="E655" s="15"/>
    </row>
    <row r="656">
      <c r="B656" s="15"/>
      <c r="E656" s="15"/>
    </row>
    <row r="657">
      <c r="B657" s="15"/>
      <c r="E657" s="15"/>
    </row>
    <row r="658">
      <c r="B658" s="15"/>
      <c r="E658" s="15"/>
    </row>
    <row r="659">
      <c r="B659" s="15"/>
      <c r="E659" s="15"/>
    </row>
    <row r="660">
      <c r="B660" s="15"/>
      <c r="E660" s="15"/>
    </row>
    <row r="661">
      <c r="B661" s="15"/>
      <c r="E661" s="15"/>
    </row>
    <row r="662">
      <c r="B662" s="15"/>
      <c r="E662" s="15"/>
    </row>
    <row r="663">
      <c r="B663" s="15"/>
      <c r="E663" s="15"/>
    </row>
    <row r="664">
      <c r="B664" s="15"/>
      <c r="E664" s="15"/>
    </row>
    <row r="665">
      <c r="B665" s="15"/>
      <c r="E665" s="15"/>
    </row>
    <row r="666">
      <c r="B666" s="15"/>
      <c r="E666" s="15"/>
    </row>
    <row r="667">
      <c r="B667" s="15"/>
      <c r="E667" s="15"/>
    </row>
    <row r="668">
      <c r="B668" s="15"/>
      <c r="E668" s="15"/>
    </row>
    <row r="669">
      <c r="B669" s="15"/>
      <c r="E669" s="15"/>
    </row>
    <row r="670">
      <c r="B670" s="15"/>
      <c r="E670" s="15"/>
    </row>
    <row r="671">
      <c r="B671" s="15"/>
      <c r="E671" s="15"/>
    </row>
    <row r="672">
      <c r="B672" s="15"/>
      <c r="E672" s="15"/>
    </row>
    <row r="673">
      <c r="B673" s="15"/>
      <c r="E673" s="15"/>
    </row>
    <row r="674">
      <c r="B674" s="15"/>
      <c r="E674" s="15"/>
    </row>
    <row r="675">
      <c r="B675" s="15"/>
      <c r="E675" s="15"/>
    </row>
    <row r="676">
      <c r="B676" s="15"/>
      <c r="E676" s="15"/>
    </row>
    <row r="677">
      <c r="B677" s="15"/>
      <c r="E677" s="15"/>
    </row>
    <row r="678">
      <c r="B678" s="15"/>
      <c r="E678" s="15"/>
    </row>
    <row r="679">
      <c r="B679" s="15"/>
      <c r="E679" s="15"/>
    </row>
    <row r="680">
      <c r="B680" s="15"/>
      <c r="E680" s="15"/>
    </row>
    <row r="681">
      <c r="B681" s="15"/>
      <c r="E681" s="15"/>
    </row>
    <row r="682">
      <c r="B682" s="15"/>
      <c r="E682" s="15"/>
    </row>
    <row r="683">
      <c r="B683" s="15"/>
      <c r="E683" s="15"/>
    </row>
    <row r="684">
      <c r="B684" s="15"/>
      <c r="E684" s="15"/>
    </row>
    <row r="685">
      <c r="B685" s="15"/>
      <c r="E685" s="15"/>
    </row>
    <row r="686">
      <c r="B686" s="15"/>
      <c r="E686" s="15"/>
    </row>
    <row r="687">
      <c r="B687" s="15"/>
      <c r="E687" s="15"/>
    </row>
    <row r="688">
      <c r="B688" s="15"/>
      <c r="E688" s="15"/>
    </row>
    <row r="689">
      <c r="B689" s="15"/>
      <c r="E689" s="15"/>
    </row>
    <row r="690">
      <c r="B690" s="15"/>
      <c r="E690" s="15"/>
    </row>
    <row r="691">
      <c r="B691" s="15"/>
      <c r="E691" s="15"/>
    </row>
    <row r="692">
      <c r="B692" s="15"/>
      <c r="E692" s="15"/>
    </row>
    <row r="693">
      <c r="B693" s="15"/>
      <c r="E693" s="15"/>
    </row>
    <row r="694">
      <c r="B694" s="15"/>
      <c r="E694" s="15"/>
    </row>
    <row r="695">
      <c r="B695" s="15"/>
      <c r="E695" s="15"/>
    </row>
    <row r="696">
      <c r="B696" s="15"/>
      <c r="E696" s="15"/>
    </row>
    <row r="697">
      <c r="B697" s="15"/>
      <c r="E697" s="15"/>
    </row>
    <row r="698">
      <c r="B698" s="15"/>
      <c r="E698" s="15"/>
    </row>
    <row r="699">
      <c r="B699" s="15"/>
      <c r="E699" s="15"/>
    </row>
    <row r="700">
      <c r="B700" s="15"/>
      <c r="E700" s="15"/>
    </row>
    <row r="701">
      <c r="B701" s="15"/>
      <c r="E701" s="15"/>
    </row>
    <row r="702">
      <c r="B702" s="15"/>
      <c r="E702" s="15"/>
    </row>
    <row r="703">
      <c r="B703" s="15"/>
      <c r="E703" s="15"/>
    </row>
    <row r="704">
      <c r="B704" s="15"/>
      <c r="E704" s="15"/>
    </row>
    <row r="705">
      <c r="B705" s="15"/>
      <c r="E705" s="15"/>
    </row>
    <row r="706">
      <c r="B706" s="15"/>
      <c r="E706" s="15"/>
    </row>
    <row r="707">
      <c r="B707" s="15"/>
      <c r="E707" s="15"/>
    </row>
    <row r="708">
      <c r="B708" s="15"/>
      <c r="E708" s="15"/>
    </row>
    <row r="709">
      <c r="B709" s="15"/>
      <c r="E709" s="15"/>
    </row>
    <row r="710">
      <c r="B710" s="15"/>
      <c r="E710" s="15"/>
    </row>
    <row r="711">
      <c r="B711" s="15"/>
      <c r="E711" s="15"/>
    </row>
    <row r="712">
      <c r="B712" s="15"/>
      <c r="E712" s="15"/>
    </row>
    <row r="713">
      <c r="B713" s="15"/>
      <c r="E713" s="15"/>
    </row>
    <row r="714">
      <c r="B714" s="15"/>
      <c r="E714" s="15"/>
    </row>
    <row r="715">
      <c r="B715" s="15"/>
      <c r="E715" s="15"/>
    </row>
    <row r="716">
      <c r="B716" s="15"/>
      <c r="E716" s="15"/>
    </row>
    <row r="717">
      <c r="B717" s="15"/>
      <c r="E717" s="15"/>
    </row>
    <row r="718">
      <c r="B718" s="15"/>
      <c r="E718" s="15"/>
    </row>
    <row r="719">
      <c r="B719" s="15"/>
      <c r="E719" s="15"/>
    </row>
    <row r="720">
      <c r="B720" s="15"/>
      <c r="E720" s="15"/>
    </row>
    <row r="721">
      <c r="B721" s="15"/>
      <c r="E721" s="15"/>
    </row>
    <row r="722">
      <c r="B722" s="15"/>
      <c r="E722" s="15"/>
    </row>
    <row r="723">
      <c r="B723" s="15"/>
      <c r="E723" s="15"/>
    </row>
    <row r="724">
      <c r="B724" s="15"/>
      <c r="E724" s="15"/>
    </row>
    <row r="725">
      <c r="B725" s="15"/>
      <c r="E725" s="15"/>
    </row>
    <row r="726">
      <c r="B726" s="15"/>
      <c r="E726" s="15"/>
    </row>
    <row r="727">
      <c r="B727" s="15"/>
      <c r="E727" s="15"/>
    </row>
    <row r="728">
      <c r="B728" s="15"/>
      <c r="E728" s="15"/>
    </row>
    <row r="729">
      <c r="B729" s="15"/>
      <c r="E729" s="15"/>
    </row>
    <row r="730">
      <c r="B730" s="15"/>
      <c r="E730" s="15"/>
    </row>
    <row r="731">
      <c r="B731" s="15"/>
      <c r="E731" s="15"/>
    </row>
    <row r="732">
      <c r="B732" s="15"/>
      <c r="E732" s="15"/>
    </row>
    <row r="733">
      <c r="B733" s="15"/>
      <c r="E733" s="15"/>
    </row>
    <row r="734">
      <c r="B734" s="15"/>
      <c r="E734" s="15"/>
    </row>
    <row r="735">
      <c r="B735" s="15"/>
      <c r="E735" s="15"/>
    </row>
    <row r="736">
      <c r="B736" s="15"/>
      <c r="E736" s="15"/>
    </row>
    <row r="737">
      <c r="B737" s="15"/>
      <c r="E737" s="15"/>
    </row>
    <row r="738">
      <c r="B738" s="15"/>
      <c r="E738" s="15"/>
    </row>
    <row r="739">
      <c r="B739" s="15"/>
      <c r="E739" s="15"/>
    </row>
    <row r="740">
      <c r="B740" s="15"/>
      <c r="E740" s="15"/>
    </row>
    <row r="741">
      <c r="B741" s="15"/>
      <c r="E741" s="15"/>
    </row>
    <row r="742">
      <c r="B742" s="15"/>
      <c r="E742" s="15"/>
    </row>
    <row r="743">
      <c r="B743" s="15"/>
      <c r="E743" s="15"/>
    </row>
    <row r="744">
      <c r="B744" s="15"/>
      <c r="E744" s="15"/>
    </row>
    <row r="745">
      <c r="B745" s="15"/>
      <c r="E745" s="15"/>
    </row>
    <row r="746">
      <c r="B746" s="15"/>
      <c r="E746" s="15"/>
    </row>
    <row r="747">
      <c r="B747" s="15"/>
      <c r="E747" s="15"/>
    </row>
    <row r="748">
      <c r="B748" s="15"/>
      <c r="E748" s="15"/>
    </row>
    <row r="749">
      <c r="B749" s="15"/>
      <c r="E749" s="15"/>
    </row>
    <row r="750">
      <c r="B750" s="15"/>
      <c r="E750" s="15"/>
    </row>
    <row r="751">
      <c r="B751" s="15"/>
      <c r="E751" s="15"/>
    </row>
    <row r="752">
      <c r="B752" s="15"/>
      <c r="E752" s="15"/>
    </row>
    <row r="753">
      <c r="B753" s="15"/>
      <c r="E753" s="15"/>
    </row>
    <row r="754">
      <c r="B754" s="15"/>
      <c r="E754" s="15"/>
    </row>
    <row r="755">
      <c r="B755" s="15"/>
      <c r="E755" s="15"/>
    </row>
    <row r="756">
      <c r="B756" s="15"/>
      <c r="E756" s="15"/>
    </row>
    <row r="757">
      <c r="B757" s="15"/>
      <c r="E757" s="15"/>
    </row>
    <row r="758">
      <c r="B758" s="15"/>
      <c r="E758" s="15"/>
    </row>
    <row r="759">
      <c r="B759" s="15"/>
      <c r="E759" s="15"/>
    </row>
    <row r="760">
      <c r="B760" s="15"/>
      <c r="E760" s="15"/>
    </row>
    <row r="761">
      <c r="B761" s="15"/>
      <c r="E761" s="15"/>
    </row>
    <row r="762">
      <c r="B762" s="15"/>
      <c r="E762" s="15"/>
    </row>
    <row r="763">
      <c r="B763" s="15"/>
      <c r="E763" s="15"/>
    </row>
    <row r="764">
      <c r="B764" s="15"/>
      <c r="E764" s="15"/>
    </row>
    <row r="765">
      <c r="B765" s="15"/>
      <c r="E765" s="15"/>
    </row>
    <row r="766">
      <c r="B766" s="15"/>
      <c r="E766" s="15"/>
    </row>
    <row r="767">
      <c r="B767" s="15"/>
      <c r="E767" s="15"/>
    </row>
    <row r="768">
      <c r="B768" s="15"/>
      <c r="E768" s="15"/>
    </row>
    <row r="769">
      <c r="B769" s="15"/>
      <c r="E769" s="15"/>
    </row>
    <row r="770">
      <c r="B770" s="15"/>
      <c r="E770" s="15"/>
    </row>
    <row r="771">
      <c r="B771" s="15"/>
      <c r="E771" s="15"/>
    </row>
    <row r="772">
      <c r="B772" s="15"/>
      <c r="E772" s="15"/>
    </row>
    <row r="773">
      <c r="B773" s="15"/>
      <c r="E773" s="15"/>
    </row>
    <row r="774">
      <c r="B774" s="15"/>
      <c r="E774" s="15"/>
    </row>
    <row r="775">
      <c r="B775" s="15"/>
      <c r="E775" s="15"/>
    </row>
    <row r="776">
      <c r="B776" s="15"/>
      <c r="E776" s="15"/>
    </row>
    <row r="777">
      <c r="B777" s="15"/>
      <c r="E777" s="15"/>
    </row>
    <row r="778">
      <c r="B778" s="15"/>
      <c r="E778" s="15"/>
    </row>
    <row r="779">
      <c r="B779" s="15"/>
      <c r="E779" s="15"/>
    </row>
    <row r="780">
      <c r="B780" s="15"/>
      <c r="E780" s="15"/>
    </row>
    <row r="781">
      <c r="B781" s="15"/>
      <c r="E781" s="15"/>
    </row>
    <row r="782">
      <c r="B782" s="15"/>
      <c r="E782" s="15"/>
    </row>
    <row r="783">
      <c r="B783" s="15"/>
      <c r="E783" s="15"/>
    </row>
    <row r="784">
      <c r="B784" s="15"/>
      <c r="E784" s="15"/>
    </row>
    <row r="785">
      <c r="B785" s="15"/>
      <c r="E785" s="15"/>
    </row>
    <row r="786">
      <c r="B786" s="15"/>
      <c r="E786" s="15"/>
    </row>
    <row r="787">
      <c r="B787" s="15"/>
      <c r="E787" s="15"/>
    </row>
    <row r="788">
      <c r="B788" s="15"/>
      <c r="E788" s="15"/>
    </row>
    <row r="789">
      <c r="B789" s="15"/>
      <c r="E789" s="15"/>
    </row>
    <row r="790">
      <c r="B790" s="15"/>
      <c r="E790" s="15"/>
    </row>
    <row r="791">
      <c r="B791" s="15"/>
      <c r="E791" s="15"/>
    </row>
    <row r="792">
      <c r="B792" s="15"/>
      <c r="E792" s="15"/>
    </row>
    <row r="793">
      <c r="B793" s="15"/>
      <c r="E793" s="15"/>
    </row>
    <row r="794">
      <c r="B794" s="15"/>
      <c r="E794" s="15"/>
    </row>
    <row r="795">
      <c r="B795" s="15"/>
      <c r="E795" s="15"/>
    </row>
    <row r="796">
      <c r="B796" s="15"/>
      <c r="E796" s="15"/>
    </row>
    <row r="797">
      <c r="B797" s="15"/>
      <c r="E797" s="15"/>
    </row>
    <row r="798">
      <c r="B798" s="15"/>
      <c r="E798" s="15"/>
    </row>
    <row r="799">
      <c r="B799" s="15"/>
      <c r="E799" s="15"/>
    </row>
    <row r="800">
      <c r="B800" s="15"/>
      <c r="E800" s="15"/>
    </row>
    <row r="801">
      <c r="B801" s="15"/>
      <c r="E801" s="15"/>
    </row>
    <row r="802">
      <c r="B802" s="15"/>
      <c r="E802" s="15"/>
    </row>
    <row r="803">
      <c r="B803" s="15"/>
      <c r="E803" s="15"/>
    </row>
    <row r="804">
      <c r="B804" s="15"/>
      <c r="E804" s="15"/>
    </row>
    <row r="805">
      <c r="B805" s="15"/>
      <c r="E805" s="15"/>
    </row>
    <row r="806">
      <c r="B806" s="15"/>
      <c r="E806" s="15"/>
    </row>
    <row r="807">
      <c r="B807" s="15"/>
      <c r="E807" s="15"/>
    </row>
    <row r="808">
      <c r="B808" s="15"/>
      <c r="E808" s="15"/>
    </row>
    <row r="809">
      <c r="B809" s="15"/>
      <c r="E809" s="15"/>
    </row>
    <row r="810">
      <c r="B810" s="15"/>
      <c r="E810" s="15"/>
    </row>
    <row r="811">
      <c r="B811" s="15"/>
      <c r="E811" s="15"/>
    </row>
    <row r="812">
      <c r="B812" s="15"/>
      <c r="E812" s="15"/>
    </row>
    <row r="813">
      <c r="B813" s="15"/>
      <c r="E813" s="15"/>
    </row>
    <row r="814">
      <c r="B814" s="15"/>
      <c r="E814" s="15"/>
    </row>
    <row r="815">
      <c r="B815" s="15"/>
      <c r="E815" s="15"/>
    </row>
    <row r="816">
      <c r="B816" s="15"/>
      <c r="E816" s="15"/>
    </row>
    <row r="817">
      <c r="B817" s="15"/>
      <c r="E817" s="15"/>
    </row>
    <row r="818">
      <c r="B818" s="15"/>
      <c r="E818" s="15"/>
    </row>
    <row r="819">
      <c r="B819" s="15"/>
      <c r="E819" s="15"/>
    </row>
    <row r="820">
      <c r="B820" s="15"/>
      <c r="E820" s="15"/>
    </row>
    <row r="821">
      <c r="B821" s="15"/>
      <c r="E821" s="15"/>
    </row>
    <row r="822">
      <c r="B822" s="15"/>
      <c r="E822" s="15"/>
    </row>
    <row r="823">
      <c r="B823" s="15"/>
      <c r="E823" s="15"/>
    </row>
    <row r="824">
      <c r="B824" s="15"/>
      <c r="E824" s="15"/>
    </row>
    <row r="825">
      <c r="B825" s="15"/>
      <c r="E825" s="15"/>
    </row>
    <row r="826">
      <c r="B826" s="15"/>
      <c r="E826" s="15"/>
    </row>
    <row r="827">
      <c r="B827" s="15"/>
      <c r="E827" s="15"/>
    </row>
    <row r="828">
      <c r="B828" s="15"/>
      <c r="E828" s="15"/>
    </row>
    <row r="829">
      <c r="B829" s="15"/>
      <c r="E829" s="15"/>
    </row>
    <row r="830">
      <c r="B830" s="15"/>
      <c r="E830" s="15"/>
    </row>
    <row r="831">
      <c r="B831" s="15"/>
      <c r="E831" s="15"/>
    </row>
    <row r="832">
      <c r="B832" s="15"/>
      <c r="E832" s="15"/>
    </row>
    <row r="833">
      <c r="B833" s="15"/>
      <c r="E833" s="15"/>
    </row>
    <row r="834">
      <c r="B834" s="15"/>
      <c r="E834" s="15"/>
    </row>
    <row r="835">
      <c r="B835" s="15"/>
      <c r="E835" s="15"/>
    </row>
    <row r="836">
      <c r="B836" s="15"/>
      <c r="E836" s="15"/>
    </row>
    <row r="837">
      <c r="B837" s="15"/>
      <c r="E837" s="15"/>
    </row>
    <row r="838">
      <c r="B838" s="15"/>
      <c r="E838" s="15"/>
    </row>
    <row r="839">
      <c r="B839" s="15"/>
      <c r="E839" s="15"/>
    </row>
    <row r="840">
      <c r="B840" s="15"/>
      <c r="E840" s="15"/>
    </row>
    <row r="841">
      <c r="B841" s="15"/>
      <c r="E841" s="15"/>
    </row>
    <row r="842">
      <c r="B842" s="15"/>
      <c r="E842" s="15"/>
    </row>
    <row r="843">
      <c r="B843" s="15"/>
      <c r="E843" s="15"/>
    </row>
    <row r="844">
      <c r="B844" s="15"/>
      <c r="E844" s="15"/>
    </row>
    <row r="845">
      <c r="B845" s="15"/>
      <c r="E845" s="15"/>
    </row>
    <row r="846">
      <c r="B846" s="15"/>
      <c r="E846" s="15"/>
    </row>
    <row r="847">
      <c r="B847" s="15"/>
      <c r="E847" s="15"/>
    </row>
    <row r="848">
      <c r="B848" s="15"/>
      <c r="E848" s="15"/>
    </row>
    <row r="849">
      <c r="B849" s="15"/>
      <c r="E849" s="15"/>
    </row>
    <row r="850">
      <c r="B850" s="15"/>
      <c r="E850" s="15"/>
    </row>
    <row r="851">
      <c r="B851" s="15"/>
      <c r="E851" s="15"/>
    </row>
    <row r="852">
      <c r="B852" s="15"/>
      <c r="E852" s="15"/>
    </row>
    <row r="853">
      <c r="B853" s="15"/>
      <c r="E853" s="15"/>
    </row>
    <row r="854">
      <c r="B854" s="15"/>
      <c r="E854" s="15"/>
    </row>
    <row r="855">
      <c r="B855" s="15"/>
      <c r="E855" s="15"/>
    </row>
    <row r="856">
      <c r="B856" s="15"/>
      <c r="E856" s="15"/>
    </row>
    <row r="857">
      <c r="B857" s="15"/>
      <c r="E857" s="15"/>
    </row>
    <row r="858">
      <c r="B858" s="15"/>
      <c r="E858" s="15"/>
    </row>
    <row r="859">
      <c r="B859" s="15"/>
      <c r="E859" s="15"/>
    </row>
    <row r="860">
      <c r="B860" s="15"/>
      <c r="E860" s="15"/>
    </row>
    <row r="861">
      <c r="B861" s="15"/>
      <c r="E861" s="15"/>
    </row>
    <row r="862">
      <c r="B862" s="15"/>
      <c r="E862" s="15"/>
    </row>
    <row r="863">
      <c r="B863" s="15"/>
      <c r="E863" s="15"/>
    </row>
    <row r="864">
      <c r="B864" s="15"/>
      <c r="E864" s="15"/>
    </row>
    <row r="865">
      <c r="B865" s="15"/>
      <c r="E865" s="15"/>
    </row>
    <row r="866">
      <c r="B866" s="15"/>
      <c r="E866" s="15"/>
    </row>
    <row r="867">
      <c r="B867" s="15"/>
      <c r="E867" s="15"/>
    </row>
    <row r="868">
      <c r="B868" s="15"/>
      <c r="E868" s="15"/>
    </row>
    <row r="869">
      <c r="B869" s="15"/>
      <c r="E869" s="15"/>
    </row>
    <row r="870">
      <c r="B870" s="15"/>
      <c r="E870" s="15"/>
    </row>
    <row r="871">
      <c r="B871" s="15"/>
      <c r="E871" s="15"/>
    </row>
    <row r="872">
      <c r="B872" s="15"/>
      <c r="E872" s="15"/>
    </row>
    <row r="873">
      <c r="B873" s="15"/>
      <c r="E873" s="15"/>
    </row>
    <row r="874">
      <c r="B874" s="15"/>
      <c r="E874" s="15"/>
    </row>
    <row r="875">
      <c r="B875" s="15"/>
      <c r="E875" s="15"/>
    </row>
    <row r="876">
      <c r="B876" s="15"/>
      <c r="E876" s="15"/>
    </row>
    <row r="877">
      <c r="B877" s="15"/>
      <c r="E877" s="15"/>
    </row>
    <row r="878">
      <c r="B878" s="15"/>
      <c r="E878" s="15"/>
    </row>
    <row r="879">
      <c r="B879" s="15"/>
      <c r="E879" s="15"/>
    </row>
    <row r="880">
      <c r="B880" s="15"/>
      <c r="E880" s="15"/>
    </row>
    <row r="881">
      <c r="B881" s="15"/>
      <c r="E881" s="15"/>
    </row>
    <row r="882">
      <c r="B882" s="15"/>
      <c r="E882" s="15"/>
    </row>
    <row r="883">
      <c r="B883" s="15"/>
      <c r="E883" s="15"/>
    </row>
    <row r="884">
      <c r="B884" s="15"/>
      <c r="E884" s="15"/>
    </row>
    <row r="885">
      <c r="B885" s="15"/>
      <c r="E885" s="15"/>
    </row>
    <row r="886">
      <c r="B886" s="15"/>
      <c r="E886" s="15"/>
    </row>
    <row r="887">
      <c r="B887" s="15"/>
      <c r="E887" s="15"/>
    </row>
    <row r="888">
      <c r="B888" s="15"/>
      <c r="E888" s="15"/>
    </row>
    <row r="889">
      <c r="B889" s="15"/>
      <c r="E889" s="15"/>
    </row>
    <row r="890">
      <c r="B890" s="15"/>
      <c r="E890" s="15"/>
    </row>
    <row r="891">
      <c r="B891" s="15"/>
      <c r="E891" s="15"/>
    </row>
    <row r="892">
      <c r="B892" s="15"/>
      <c r="E892" s="15"/>
    </row>
    <row r="893">
      <c r="B893" s="15"/>
      <c r="E893" s="15"/>
    </row>
    <row r="894">
      <c r="B894" s="15"/>
      <c r="E894" s="15"/>
    </row>
    <row r="895">
      <c r="B895" s="15"/>
      <c r="E895" s="15"/>
    </row>
    <row r="896">
      <c r="B896" s="15"/>
      <c r="E896" s="15"/>
    </row>
    <row r="897">
      <c r="B897" s="15"/>
      <c r="E897" s="15"/>
    </row>
    <row r="898">
      <c r="B898" s="15"/>
      <c r="E898" s="15"/>
    </row>
    <row r="899">
      <c r="B899" s="15"/>
      <c r="E899" s="15"/>
    </row>
    <row r="900">
      <c r="B900" s="15"/>
      <c r="E900" s="15"/>
    </row>
    <row r="901">
      <c r="B901" s="15"/>
      <c r="E901" s="15"/>
    </row>
    <row r="902">
      <c r="B902" s="15"/>
      <c r="E902" s="15"/>
    </row>
    <row r="903">
      <c r="B903" s="15"/>
      <c r="E903" s="15"/>
    </row>
    <row r="904">
      <c r="B904" s="15"/>
      <c r="E904" s="15"/>
    </row>
    <row r="905">
      <c r="B905" s="15"/>
      <c r="E905" s="15"/>
    </row>
    <row r="906">
      <c r="B906" s="15"/>
      <c r="E906" s="15"/>
    </row>
    <row r="907">
      <c r="B907" s="15"/>
      <c r="E907" s="15"/>
    </row>
    <row r="908">
      <c r="B908" s="15"/>
      <c r="E908" s="15"/>
    </row>
    <row r="909">
      <c r="B909" s="15"/>
      <c r="E909" s="15"/>
    </row>
    <row r="910">
      <c r="B910" s="15"/>
      <c r="E910" s="15"/>
    </row>
    <row r="911">
      <c r="B911" s="15"/>
      <c r="E911" s="15"/>
    </row>
    <row r="912">
      <c r="B912" s="15"/>
      <c r="E912" s="15"/>
    </row>
    <row r="913">
      <c r="B913" s="15"/>
      <c r="E913" s="15"/>
    </row>
    <row r="914">
      <c r="B914" s="15"/>
      <c r="E914" s="15"/>
    </row>
    <row r="915">
      <c r="B915" s="15"/>
      <c r="E915" s="15"/>
    </row>
    <row r="916">
      <c r="B916" s="15"/>
      <c r="E916" s="15"/>
    </row>
    <row r="917">
      <c r="B917" s="15"/>
      <c r="E917" s="15"/>
    </row>
    <row r="918">
      <c r="B918" s="15"/>
      <c r="E918" s="15"/>
    </row>
    <row r="919">
      <c r="B919" s="15"/>
      <c r="E919" s="15"/>
    </row>
    <row r="920">
      <c r="B920" s="15"/>
      <c r="E920" s="15"/>
    </row>
    <row r="921">
      <c r="B921" s="15"/>
      <c r="E921" s="15"/>
    </row>
    <row r="922">
      <c r="B922" s="15"/>
      <c r="E922" s="15"/>
    </row>
    <row r="923">
      <c r="B923" s="15"/>
      <c r="E923" s="15"/>
    </row>
    <row r="924">
      <c r="B924" s="15"/>
      <c r="E924" s="15"/>
    </row>
    <row r="925">
      <c r="B925" s="15"/>
      <c r="E925" s="15"/>
    </row>
    <row r="926">
      <c r="B926" s="15"/>
      <c r="E926" s="15"/>
    </row>
    <row r="927">
      <c r="B927" s="15"/>
      <c r="E927" s="15"/>
    </row>
    <row r="928">
      <c r="B928" s="15"/>
      <c r="E928" s="15"/>
    </row>
    <row r="929">
      <c r="B929" s="15"/>
      <c r="E929" s="15"/>
    </row>
    <row r="930">
      <c r="B930" s="15"/>
      <c r="E930" s="15"/>
    </row>
    <row r="931">
      <c r="B931" s="15"/>
      <c r="E931" s="15"/>
    </row>
    <row r="932">
      <c r="B932" s="15"/>
      <c r="E932" s="15"/>
    </row>
    <row r="933">
      <c r="B933" s="15"/>
      <c r="E933" s="15"/>
    </row>
    <row r="934">
      <c r="B934" s="15"/>
      <c r="E934" s="15"/>
    </row>
    <row r="935">
      <c r="B935" s="15"/>
      <c r="E935" s="15"/>
    </row>
    <row r="936">
      <c r="B936" s="15"/>
      <c r="E936" s="15"/>
    </row>
    <row r="937">
      <c r="B937" s="15"/>
      <c r="E937" s="15"/>
    </row>
    <row r="938">
      <c r="B938" s="15"/>
      <c r="E938" s="15"/>
    </row>
    <row r="939">
      <c r="B939" s="15"/>
      <c r="E939" s="15"/>
    </row>
    <row r="940">
      <c r="B940" s="15"/>
      <c r="E940" s="15"/>
    </row>
    <row r="941">
      <c r="B941" s="15"/>
      <c r="E941" s="15"/>
    </row>
    <row r="942">
      <c r="B942" s="15"/>
      <c r="E942" s="15"/>
    </row>
    <row r="943">
      <c r="B943" s="15"/>
      <c r="E943" s="15"/>
    </row>
    <row r="944">
      <c r="B944" s="15"/>
      <c r="E944" s="15"/>
    </row>
    <row r="945">
      <c r="B945" s="15"/>
      <c r="E945" s="15"/>
    </row>
    <row r="946">
      <c r="B946" s="15"/>
      <c r="E946" s="15"/>
    </row>
    <row r="947">
      <c r="B947" s="15"/>
      <c r="E947" s="15"/>
    </row>
    <row r="948">
      <c r="B948" s="15"/>
      <c r="E948" s="15"/>
    </row>
    <row r="949">
      <c r="B949" s="15"/>
      <c r="E949" s="15"/>
    </row>
    <row r="950">
      <c r="B950" s="15"/>
      <c r="E950" s="15"/>
    </row>
    <row r="951">
      <c r="B951" s="15"/>
      <c r="E951" s="15"/>
    </row>
    <row r="952">
      <c r="B952" s="15"/>
      <c r="E952" s="15"/>
    </row>
    <row r="953">
      <c r="B953" s="15"/>
      <c r="E953" s="15"/>
    </row>
    <row r="954">
      <c r="B954" s="15"/>
      <c r="E954" s="15"/>
    </row>
    <row r="955">
      <c r="B955" s="15"/>
      <c r="E955" s="15"/>
    </row>
    <row r="956">
      <c r="B956" s="15"/>
      <c r="E956" s="15"/>
    </row>
    <row r="957">
      <c r="B957" s="15"/>
      <c r="E957" s="15"/>
    </row>
    <row r="958">
      <c r="B958" s="15"/>
      <c r="E958" s="15"/>
    </row>
    <row r="959">
      <c r="B959" s="15"/>
      <c r="E959" s="15"/>
    </row>
    <row r="960">
      <c r="B960" s="15"/>
      <c r="E960" s="15"/>
    </row>
    <row r="961">
      <c r="B961" s="15"/>
      <c r="E961" s="15"/>
    </row>
    <row r="962">
      <c r="B962" s="15"/>
      <c r="E962" s="15"/>
    </row>
    <row r="963">
      <c r="B963" s="15"/>
      <c r="E963" s="15"/>
    </row>
    <row r="964">
      <c r="B964" s="15"/>
      <c r="E964" s="15"/>
    </row>
    <row r="965">
      <c r="B965" s="15"/>
      <c r="E965" s="15"/>
    </row>
    <row r="966">
      <c r="B966" s="15"/>
      <c r="E966" s="15"/>
    </row>
    <row r="967">
      <c r="B967" s="15"/>
      <c r="E967" s="15"/>
    </row>
    <row r="968">
      <c r="B968" s="15"/>
      <c r="E968" s="15"/>
    </row>
    <row r="969">
      <c r="B969" s="15"/>
      <c r="E969" s="15"/>
    </row>
    <row r="970">
      <c r="B970" s="15"/>
      <c r="E970" s="15"/>
    </row>
    <row r="971">
      <c r="B971" s="15"/>
      <c r="E971" s="15"/>
    </row>
    <row r="972">
      <c r="B972" s="15"/>
      <c r="E972" s="15"/>
    </row>
    <row r="973">
      <c r="B973" s="15"/>
      <c r="E973" s="15"/>
    </row>
    <row r="974">
      <c r="B974" s="15"/>
      <c r="E974" s="15"/>
    </row>
    <row r="975">
      <c r="B975" s="15"/>
      <c r="E975" s="15"/>
    </row>
    <row r="976">
      <c r="B976" s="15"/>
      <c r="E976" s="15"/>
    </row>
    <row r="977">
      <c r="B977" s="15"/>
      <c r="E977" s="15"/>
    </row>
    <row r="978">
      <c r="B978" s="15"/>
      <c r="E978" s="15"/>
    </row>
    <row r="979">
      <c r="B979" s="15"/>
      <c r="E979" s="15"/>
    </row>
    <row r="980">
      <c r="B980" s="15"/>
      <c r="E980" s="15"/>
    </row>
    <row r="981">
      <c r="B981" s="15"/>
      <c r="E981" s="15"/>
    </row>
    <row r="982">
      <c r="B982" s="15"/>
      <c r="E982" s="15"/>
    </row>
    <row r="983">
      <c r="B983" s="15"/>
      <c r="E983" s="15"/>
    </row>
    <row r="984">
      <c r="B984" s="15"/>
      <c r="E984" s="15"/>
    </row>
    <row r="985">
      <c r="B985" s="15"/>
      <c r="E985" s="15"/>
    </row>
    <row r="986">
      <c r="B986" s="15"/>
      <c r="E986" s="15"/>
    </row>
    <row r="987">
      <c r="B987" s="15"/>
      <c r="E987" s="15"/>
    </row>
    <row r="988">
      <c r="B988" s="15"/>
      <c r="E988" s="15"/>
    </row>
    <row r="989">
      <c r="B989" s="15"/>
      <c r="E989" s="15"/>
    </row>
    <row r="990">
      <c r="B990" s="15"/>
      <c r="E990" s="15"/>
    </row>
    <row r="991">
      <c r="B991" s="15"/>
      <c r="E991" s="15"/>
    </row>
    <row r="992">
      <c r="B992" s="15"/>
      <c r="E992" s="15"/>
    </row>
    <row r="993">
      <c r="B993" s="15"/>
      <c r="E993" s="15"/>
    </row>
    <row r="994">
      <c r="B994" s="15"/>
      <c r="E994" s="15"/>
    </row>
    <row r="995">
      <c r="B995" s="15"/>
      <c r="E995" s="15"/>
    </row>
    <row r="996">
      <c r="B996" s="15"/>
      <c r="E996" s="15"/>
    </row>
    <row r="997">
      <c r="B997" s="15"/>
      <c r="E997" s="15"/>
    </row>
  </sheetData>
  <mergeCells count="1">
    <mergeCell ref="A4:B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34.0"/>
    <col customWidth="1" min="3" max="3" width="8.0"/>
    <col customWidth="1" min="4" max="6" width="26.0"/>
    <col customWidth="1" min="7" max="7" width="28.0"/>
    <col customWidth="1" min="8" max="8" width="11.0"/>
    <col customWidth="1" min="9" max="26" width="8.71"/>
  </cols>
  <sheetData>
    <row r="1">
      <c r="A1" s="21" t="s">
        <v>39</v>
      </c>
    </row>
    <row r="2">
      <c r="A2" s="22" t="s">
        <v>40</v>
      </c>
    </row>
    <row r="3">
      <c r="A3" s="23" t="s">
        <v>41</v>
      </c>
      <c r="B3" s="24"/>
      <c r="E3" s="23" t="s">
        <v>42</v>
      </c>
      <c r="F3" s="24"/>
    </row>
    <row r="4">
      <c r="A4" s="23" t="s">
        <v>43</v>
      </c>
      <c r="B4" s="24"/>
      <c r="E4" s="23" t="s">
        <v>44</v>
      </c>
      <c r="F4" s="24"/>
    </row>
    <row r="5">
      <c r="A5" s="24"/>
      <c r="B5" s="24"/>
      <c r="C5" s="24"/>
      <c r="D5" s="24"/>
      <c r="E5" s="24"/>
      <c r="F5" s="24"/>
      <c r="G5" s="24"/>
      <c r="H5" s="24"/>
    </row>
    <row r="6">
      <c r="A6" s="25" t="s">
        <v>45</v>
      </c>
      <c r="B6" s="25" t="s">
        <v>46</v>
      </c>
      <c r="C6" s="25" t="s">
        <v>12</v>
      </c>
      <c r="D6" s="25" t="s">
        <v>47</v>
      </c>
      <c r="E6" s="25" t="s">
        <v>48</v>
      </c>
      <c r="F6" s="25" t="s">
        <v>49</v>
      </c>
      <c r="G6" s="25" t="s">
        <v>50</v>
      </c>
      <c r="H6" s="25" t="s">
        <v>51</v>
      </c>
    </row>
    <row r="7">
      <c r="A7" s="26" t="s">
        <v>52</v>
      </c>
      <c r="B7" s="27" t="s">
        <v>53</v>
      </c>
      <c r="C7" s="28">
        <v>0.2</v>
      </c>
      <c r="D7" s="29" t="s">
        <v>54</v>
      </c>
      <c r="E7" s="29" t="s">
        <v>55</v>
      </c>
      <c r="F7" s="29" t="s">
        <v>56</v>
      </c>
      <c r="G7" s="29" t="s">
        <v>57</v>
      </c>
      <c r="H7" s="28"/>
    </row>
    <row r="8">
      <c r="A8" s="26" t="s">
        <v>58</v>
      </c>
      <c r="B8" s="29" t="s">
        <v>59</v>
      </c>
      <c r="C8" s="28">
        <v>0.2</v>
      </c>
      <c r="D8" s="29" t="s">
        <v>60</v>
      </c>
      <c r="E8" s="29" t="s">
        <v>61</v>
      </c>
      <c r="F8" s="29" t="s">
        <v>62</v>
      </c>
      <c r="G8" s="29" t="s">
        <v>63</v>
      </c>
      <c r="H8" s="28"/>
    </row>
    <row r="9">
      <c r="A9" s="26" t="s">
        <v>64</v>
      </c>
      <c r="B9" s="29" t="s">
        <v>65</v>
      </c>
      <c r="C9" s="30">
        <v>0.2</v>
      </c>
      <c r="D9" s="29" t="s">
        <v>66</v>
      </c>
      <c r="E9" s="29" t="s">
        <v>67</v>
      </c>
      <c r="F9" s="29" t="s">
        <v>68</v>
      </c>
      <c r="G9" s="29" t="s">
        <v>69</v>
      </c>
      <c r="H9" s="28"/>
    </row>
    <row r="10">
      <c r="A10" s="26" t="s">
        <v>70</v>
      </c>
      <c r="B10" s="27" t="s">
        <v>71</v>
      </c>
      <c r="C10" s="30">
        <v>0.3</v>
      </c>
      <c r="D10" s="29" t="s">
        <v>72</v>
      </c>
      <c r="E10" s="29" t="s">
        <v>73</v>
      </c>
      <c r="F10" s="29" t="s">
        <v>74</v>
      </c>
      <c r="G10" s="29" t="s">
        <v>75</v>
      </c>
      <c r="H10" s="28"/>
    </row>
    <row r="11">
      <c r="A11" s="26" t="s">
        <v>76</v>
      </c>
      <c r="B11" s="29" t="s">
        <v>77</v>
      </c>
      <c r="C11" s="28">
        <v>0.1</v>
      </c>
      <c r="D11" s="29" t="s">
        <v>78</v>
      </c>
      <c r="E11" s="29" t="s">
        <v>79</v>
      </c>
      <c r="F11" s="29" t="s">
        <v>80</v>
      </c>
      <c r="G11" s="29" t="s">
        <v>81</v>
      </c>
      <c r="H11" s="28"/>
    </row>
    <row r="12">
      <c r="A12" s="24"/>
      <c r="B12" s="24"/>
      <c r="C12" s="24"/>
      <c r="D12" s="24"/>
      <c r="E12" s="24"/>
      <c r="F12" s="24"/>
      <c r="G12" s="24"/>
      <c r="H12" s="24"/>
    </row>
    <row r="13">
      <c r="A13" s="23" t="s">
        <v>82</v>
      </c>
      <c r="B13" s="24"/>
      <c r="C13" s="31">
        <f>ROUND(SUMPRODUCT(C7:C11,H7:H11)/3*10,2)</f>
        <v>0</v>
      </c>
      <c r="D13" s="24"/>
      <c r="E13" s="24"/>
      <c r="F13" s="24"/>
      <c r="G13" s="24"/>
      <c r="H13" s="24"/>
    </row>
    <row r="14">
      <c r="A14" s="23" t="s">
        <v>83</v>
      </c>
      <c r="B14" s="24"/>
      <c r="C14" s="32" t="str">
        <f>IF(C13&gt;=3.5,"Supera","No supera")</f>
        <v>No supera</v>
      </c>
      <c r="D14" s="24"/>
      <c r="E14" s="24"/>
      <c r="F14" s="24"/>
      <c r="G14" s="24"/>
      <c r="H14" s="24"/>
    </row>
    <row r="15">
      <c r="A15" s="24"/>
      <c r="B15" s="24"/>
      <c r="C15" s="24"/>
      <c r="D15" s="24"/>
      <c r="E15" s="24"/>
      <c r="F15" s="24"/>
      <c r="G15" s="24"/>
      <c r="H15" s="24"/>
    </row>
    <row r="16">
      <c r="A16" s="33" t="s">
        <v>84</v>
      </c>
    </row>
    <row r="17">
      <c r="A17" s="24"/>
      <c r="B17" s="24"/>
      <c r="C17" s="24"/>
      <c r="D17" s="24"/>
      <c r="E17" s="24"/>
      <c r="F17" s="24"/>
      <c r="G17" s="24"/>
      <c r="H17" s="24"/>
    </row>
    <row r="18">
      <c r="A18" s="24"/>
      <c r="B18" s="24"/>
      <c r="C18" s="24"/>
      <c r="D18" s="24"/>
      <c r="E18" s="24"/>
      <c r="F18" s="24"/>
      <c r="G18" s="24"/>
      <c r="H18" s="24"/>
    </row>
    <row r="19">
      <c r="A19" s="24"/>
      <c r="B19" s="24"/>
      <c r="C19" s="24"/>
      <c r="D19" s="24"/>
      <c r="E19" s="24"/>
      <c r="F19" s="24"/>
      <c r="G19" s="24"/>
      <c r="H19" s="24"/>
    </row>
    <row r="20">
      <c r="A20" s="24"/>
      <c r="B20" s="24"/>
      <c r="C20" s="24"/>
      <c r="D20" s="24"/>
      <c r="E20" s="24"/>
      <c r="F20" s="24"/>
      <c r="G20" s="24"/>
      <c r="H20" s="24"/>
    </row>
    <row r="21" ht="15.75" customHeight="1">
      <c r="A21" s="24"/>
      <c r="B21" s="24"/>
      <c r="C21" s="24"/>
      <c r="D21" s="24"/>
      <c r="E21" s="24"/>
      <c r="F21" s="24"/>
      <c r="G21" s="24"/>
      <c r="H21" s="24"/>
    </row>
    <row r="22" ht="15.75" customHeight="1">
      <c r="A22" s="24"/>
      <c r="B22" s="24"/>
      <c r="C22" s="24"/>
      <c r="D22" s="24"/>
      <c r="E22" s="24"/>
      <c r="F22" s="24"/>
      <c r="G22" s="24"/>
      <c r="H22" s="24"/>
    </row>
    <row r="23" ht="15.75" customHeight="1">
      <c r="A23" s="24"/>
      <c r="B23" s="24"/>
      <c r="C23" s="24"/>
      <c r="D23" s="24"/>
      <c r="E23" s="24"/>
      <c r="F23" s="24"/>
      <c r="G23" s="24"/>
      <c r="H23" s="24"/>
    </row>
    <row r="24" ht="15.75" customHeight="1">
      <c r="A24" s="24"/>
      <c r="B24" s="24"/>
      <c r="C24" s="24"/>
      <c r="D24" s="24"/>
      <c r="E24" s="24"/>
      <c r="F24" s="24"/>
      <c r="G24" s="24"/>
      <c r="H24" s="24"/>
    </row>
    <row r="25" ht="15.75" customHeight="1">
      <c r="A25" s="24"/>
      <c r="B25" s="24"/>
      <c r="C25" s="24"/>
      <c r="D25" s="24"/>
      <c r="E25" s="24"/>
      <c r="F25" s="24"/>
      <c r="G25" s="24"/>
      <c r="H25" s="24"/>
    </row>
    <row r="26" ht="15.75" customHeight="1">
      <c r="A26" s="24"/>
      <c r="B26" s="24"/>
      <c r="C26" s="24"/>
      <c r="D26" s="24"/>
      <c r="E26" s="24"/>
      <c r="F26" s="24"/>
      <c r="G26" s="24"/>
      <c r="H26" s="24"/>
    </row>
    <row r="27" ht="15.75" customHeight="1">
      <c r="A27" s="24"/>
      <c r="B27" s="24"/>
      <c r="C27" s="24"/>
      <c r="D27" s="24"/>
      <c r="E27" s="24"/>
      <c r="F27" s="24"/>
      <c r="G27" s="24"/>
      <c r="H27" s="24"/>
    </row>
    <row r="28" ht="15.75" customHeight="1">
      <c r="A28" s="24"/>
      <c r="B28" s="24"/>
      <c r="C28" s="24"/>
      <c r="D28" s="24"/>
      <c r="E28" s="24"/>
      <c r="F28" s="24"/>
      <c r="G28" s="24"/>
      <c r="H28" s="24"/>
    </row>
    <row r="29" ht="15.75" customHeight="1">
      <c r="A29" s="24"/>
      <c r="B29" s="24"/>
      <c r="C29" s="24"/>
      <c r="D29" s="24"/>
      <c r="E29" s="24"/>
      <c r="F29" s="24"/>
      <c r="G29" s="24"/>
      <c r="H29" s="24"/>
    </row>
    <row r="30" ht="15.75" customHeight="1">
      <c r="A30" s="24"/>
      <c r="B30" s="24"/>
      <c r="C30" s="24"/>
      <c r="D30" s="24"/>
      <c r="E30" s="24"/>
      <c r="F30" s="24"/>
      <c r="G30" s="24"/>
      <c r="H30" s="24"/>
    </row>
    <row r="31" ht="15.75" customHeight="1">
      <c r="A31" s="24"/>
      <c r="B31" s="24"/>
      <c r="C31" s="24"/>
      <c r="D31" s="24"/>
      <c r="E31" s="24"/>
      <c r="F31" s="24"/>
      <c r="G31" s="24"/>
      <c r="H31" s="24"/>
    </row>
    <row r="32" ht="15.75" customHeight="1">
      <c r="A32" s="24"/>
      <c r="B32" s="24"/>
      <c r="C32" s="24"/>
      <c r="D32" s="24"/>
      <c r="E32" s="24"/>
      <c r="F32" s="24"/>
      <c r="G32" s="24"/>
      <c r="H32" s="24"/>
    </row>
    <row r="33" ht="15.75" customHeight="1">
      <c r="A33" s="24"/>
      <c r="B33" s="24"/>
      <c r="C33" s="24"/>
      <c r="D33" s="24"/>
      <c r="E33" s="24"/>
      <c r="F33" s="24"/>
      <c r="G33" s="24"/>
      <c r="H33" s="24"/>
    </row>
    <row r="34" ht="15.75" customHeight="1">
      <c r="A34" s="24"/>
      <c r="B34" s="24"/>
      <c r="C34" s="24"/>
      <c r="D34" s="24"/>
      <c r="E34" s="24"/>
      <c r="F34" s="24"/>
      <c r="G34" s="24"/>
      <c r="H34" s="24"/>
    </row>
    <row r="35" ht="15.75" customHeight="1">
      <c r="A35" s="24"/>
      <c r="B35" s="24"/>
      <c r="C35" s="24"/>
      <c r="D35" s="24"/>
      <c r="E35" s="24"/>
      <c r="F35" s="24"/>
      <c r="G35" s="24"/>
      <c r="H35" s="24"/>
    </row>
    <row r="36" ht="15.75" customHeight="1">
      <c r="A36" s="24"/>
      <c r="B36" s="24"/>
      <c r="C36" s="24"/>
      <c r="D36" s="24"/>
      <c r="E36" s="24"/>
      <c r="F36" s="24"/>
      <c r="G36" s="24"/>
      <c r="H36" s="24"/>
    </row>
    <row r="37" ht="15.75" customHeight="1">
      <c r="A37" s="24"/>
      <c r="B37" s="24"/>
      <c r="C37" s="24"/>
      <c r="D37" s="24"/>
      <c r="E37" s="24"/>
      <c r="F37" s="24"/>
      <c r="G37" s="24"/>
      <c r="H37" s="24"/>
    </row>
    <row r="38" ht="15.75" customHeight="1">
      <c r="A38" s="24"/>
      <c r="B38" s="24"/>
      <c r="C38" s="24"/>
      <c r="D38" s="24"/>
      <c r="E38" s="24"/>
      <c r="F38" s="24"/>
      <c r="G38" s="24"/>
      <c r="H38" s="24"/>
    </row>
    <row r="39" ht="15.75" customHeight="1">
      <c r="A39" s="24"/>
      <c r="B39" s="24"/>
      <c r="C39" s="24"/>
      <c r="D39" s="24"/>
      <c r="E39" s="24"/>
      <c r="F39" s="24"/>
      <c r="G39" s="24"/>
      <c r="H39" s="24"/>
    </row>
    <row r="40" ht="15.75" customHeight="1">
      <c r="A40" s="24"/>
      <c r="B40" s="24"/>
      <c r="C40" s="24"/>
      <c r="D40" s="24"/>
      <c r="E40" s="24"/>
      <c r="F40" s="24"/>
      <c r="G40" s="24"/>
      <c r="H40" s="24"/>
    </row>
    <row r="41" ht="15.75" customHeight="1">
      <c r="A41" s="24"/>
      <c r="B41" s="24"/>
      <c r="C41" s="24"/>
      <c r="D41" s="24"/>
      <c r="E41" s="24"/>
      <c r="F41" s="24"/>
      <c r="G41" s="24"/>
      <c r="H41" s="24"/>
    </row>
    <row r="42" ht="15.75" customHeight="1">
      <c r="A42" s="24"/>
      <c r="B42" s="24"/>
      <c r="C42" s="24"/>
      <c r="D42" s="24"/>
      <c r="E42" s="24"/>
      <c r="F42" s="24"/>
      <c r="G42" s="24"/>
      <c r="H42" s="24"/>
    </row>
    <row r="43" ht="15.75" customHeight="1">
      <c r="A43" s="24"/>
      <c r="B43" s="24"/>
      <c r="C43" s="24"/>
      <c r="D43" s="24"/>
      <c r="E43" s="24"/>
      <c r="F43" s="24"/>
      <c r="G43" s="24"/>
      <c r="H43" s="24"/>
    </row>
    <row r="44" ht="15.75" customHeight="1">
      <c r="A44" s="24"/>
      <c r="B44" s="24"/>
      <c r="C44" s="24"/>
      <c r="D44" s="24"/>
      <c r="E44" s="24"/>
      <c r="F44" s="24"/>
      <c r="G44" s="24"/>
      <c r="H44" s="24"/>
    </row>
    <row r="45" ht="15.75" customHeight="1">
      <c r="A45" s="24"/>
      <c r="B45" s="24"/>
      <c r="C45" s="24"/>
      <c r="D45" s="24"/>
      <c r="E45" s="24"/>
      <c r="F45" s="24"/>
      <c r="G45" s="24"/>
      <c r="H45" s="24"/>
    </row>
    <row r="46" ht="15.75" customHeight="1">
      <c r="A46" s="24"/>
      <c r="B46" s="24"/>
      <c r="C46" s="24"/>
      <c r="D46" s="24"/>
      <c r="E46" s="24"/>
      <c r="F46" s="24"/>
      <c r="G46" s="24"/>
      <c r="H46" s="24"/>
    </row>
    <row r="47" ht="15.75" customHeight="1">
      <c r="A47" s="24"/>
      <c r="B47" s="24"/>
      <c r="C47" s="24"/>
      <c r="D47" s="24"/>
      <c r="E47" s="24"/>
      <c r="F47" s="24"/>
      <c r="G47" s="24"/>
      <c r="H47" s="24"/>
    </row>
    <row r="48" ht="15.75" customHeight="1">
      <c r="A48" s="24"/>
      <c r="B48" s="24"/>
      <c r="C48" s="24"/>
      <c r="D48" s="24"/>
      <c r="E48" s="24"/>
      <c r="F48" s="24"/>
      <c r="G48" s="24"/>
      <c r="H48" s="24"/>
    </row>
    <row r="49" ht="15.75" customHeight="1">
      <c r="A49" s="24"/>
      <c r="B49" s="24"/>
      <c r="C49" s="24"/>
      <c r="D49" s="24"/>
      <c r="E49" s="24"/>
      <c r="F49" s="24"/>
      <c r="G49" s="24"/>
      <c r="H49" s="24"/>
    </row>
    <row r="50" ht="15.75" customHeight="1">
      <c r="A50" s="24"/>
      <c r="B50" s="24"/>
      <c r="C50" s="24"/>
      <c r="D50" s="24"/>
      <c r="E50" s="24"/>
      <c r="F50" s="24"/>
      <c r="G50" s="24"/>
      <c r="H50" s="24"/>
    </row>
    <row r="51" ht="15.75" customHeight="1">
      <c r="A51" s="24"/>
      <c r="B51" s="24"/>
      <c r="C51" s="24"/>
      <c r="D51" s="24"/>
      <c r="E51" s="24"/>
      <c r="F51" s="24"/>
      <c r="G51" s="24"/>
      <c r="H51" s="24"/>
    </row>
    <row r="52" ht="15.75" customHeight="1">
      <c r="A52" s="24"/>
      <c r="B52" s="24"/>
      <c r="C52" s="24"/>
      <c r="D52" s="24"/>
      <c r="E52" s="24"/>
      <c r="F52" s="24"/>
      <c r="G52" s="24"/>
      <c r="H52" s="24"/>
    </row>
    <row r="53" ht="15.75" customHeight="1">
      <c r="A53" s="24"/>
      <c r="B53" s="24"/>
      <c r="C53" s="24"/>
      <c r="D53" s="24"/>
      <c r="E53" s="24"/>
      <c r="F53" s="24"/>
      <c r="G53" s="24"/>
      <c r="H53" s="24"/>
    </row>
    <row r="54" ht="15.75" customHeight="1">
      <c r="A54" s="24"/>
      <c r="B54" s="24"/>
      <c r="C54" s="24"/>
      <c r="D54" s="24"/>
      <c r="E54" s="24"/>
      <c r="F54" s="24"/>
      <c r="G54" s="24"/>
      <c r="H54" s="24"/>
    </row>
    <row r="55" ht="15.75" customHeight="1">
      <c r="A55" s="24"/>
      <c r="B55" s="24"/>
      <c r="C55" s="24"/>
      <c r="D55" s="24"/>
      <c r="E55" s="24"/>
      <c r="F55" s="24"/>
      <c r="G55" s="24"/>
      <c r="H55" s="24"/>
    </row>
    <row r="56" ht="15.75" customHeight="1">
      <c r="A56" s="24"/>
      <c r="B56" s="24"/>
      <c r="C56" s="24"/>
      <c r="D56" s="24"/>
      <c r="E56" s="24"/>
      <c r="F56" s="24"/>
      <c r="G56" s="24"/>
      <c r="H56" s="24"/>
    </row>
    <row r="57" ht="15.75" customHeight="1">
      <c r="A57" s="24"/>
      <c r="B57" s="24"/>
      <c r="C57" s="24"/>
      <c r="D57" s="24"/>
      <c r="E57" s="24"/>
      <c r="F57" s="24"/>
      <c r="G57" s="24"/>
      <c r="H57" s="24"/>
    </row>
    <row r="58" ht="15.75" customHeight="1">
      <c r="A58" s="24"/>
      <c r="B58" s="24"/>
      <c r="C58" s="24"/>
      <c r="D58" s="24"/>
      <c r="E58" s="24"/>
      <c r="F58" s="24"/>
      <c r="G58" s="24"/>
      <c r="H58" s="24"/>
    </row>
    <row r="59" ht="15.75" customHeight="1">
      <c r="A59" s="24"/>
      <c r="B59" s="24"/>
      <c r="C59" s="24"/>
      <c r="D59" s="24"/>
      <c r="E59" s="24"/>
      <c r="F59" s="24"/>
      <c r="G59" s="24"/>
      <c r="H59" s="24"/>
    </row>
    <row r="60" ht="15.75" customHeight="1">
      <c r="A60" s="24"/>
      <c r="B60" s="24"/>
      <c r="C60" s="24"/>
      <c r="D60" s="24"/>
      <c r="E60" s="24"/>
      <c r="F60" s="24"/>
      <c r="G60" s="24"/>
      <c r="H60" s="24"/>
    </row>
    <row r="61" ht="15.75" customHeight="1">
      <c r="A61" s="24"/>
      <c r="B61" s="24"/>
      <c r="C61" s="24"/>
      <c r="D61" s="24"/>
      <c r="E61" s="24"/>
      <c r="F61" s="24"/>
      <c r="G61" s="24"/>
      <c r="H61" s="24"/>
    </row>
    <row r="62" ht="15.75" customHeight="1">
      <c r="A62" s="24"/>
      <c r="B62" s="24"/>
      <c r="C62" s="24"/>
      <c r="D62" s="24"/>
      <c r="E62" s="24"/>
      <c r="F62" s="24"/>
      <c r="G62" s="24"/>
      <c r="H62" s="24"/>
    </row>
    <row r="63" ht="15.75" customHeight="1">
      <c r="A63" s="24"/>
      <c r="B63" s="24"/>
      <c r="C63" s="24"/>
      <c r="D63" s="24"/>
      <c r="E63" s="24"/>
      <c r="F63" s="24"/>
      <c r="G63" s="24"/>
      <c r="H63" s="24"/>
    </row>
    <row r="64" ht="15.75" customHeight="1">
      <c r="A64" s="24"/>
      <c r="B64" s="24"/>
      <c r="C64" s="24"/>
      <c r="D64" s="24"/>
      <c r="E64" s="24"/>
      <c r="F64" s="24"/>
      <c r="G64" s="24"/>
      <c r="H64" s="24"/>
    </row>
    <row r="65" ht="15.75" customHeight="1">
      <c r="A65" s="24"/>
      <c r="B65" s="24"/>
      <c r="C65" s="24"/>
      <c r="D65" s="24"/>
      <c r="E65" s="24"/>
      <c r="F65" s="24"/>
      <c r="G65" s="24"/>
      <c r="H65" s="24"/>
    </row>
    <row r="66" ht="15.75" customHeight="1">
      <c r="A66" s="24"/>
      <c r="B66" s="24"/>
      <c r="C66" s="24"/>
      <c r="D66" s="24"/>
      <c r="E66" s="24"/>
      <c r="F66" s="24"/>
      <c r="G66" s="24"/>
      <c r="H66" s="24"/>
    </row>
    <row r="67" ht="15.75" customHeight="1">
      <c r="A67" s="24"/>
      <c r="B67" s="24"/>
      <c r="C67" s="24"/>
      <c r="D67" s="24"/>
      <c r="E67" s="24"/>
      <c r="F67" s="24"/>
      <c r="G67" s="24"/>
      <c r="H67" s="24"/>
    </row>
    <row r="68" ht="15.75" customHeight="1">
      <c r="A68" s="24"/>
      <c r="B68" s="24"/>
      <c r="C68" s="24"/>
      <c r="D68" s="24"/>
      <c r="E68" s="24"/>
      <c r="F68" s="24"/>
      <c r="G68" s="24"/>
      <c r="H68" s="24"/>
    </row>
    <row r="69" ht="15.75" customHeight="1">
      <c r="A69" s="24"/>
      <c r="B69" s="24"/>
      <c r="C69" s="24"/>
      <c r="D69" s="24"/>
      <c r="E69" s="24"/>
      <c r="F69" s="24"/>
      <c r="G69" s="24"/>
      <c r="H69" s="24"/>
    </row>
    <row r="70" ht="15.75" customHeight="1">
      <c r="A70" s="24"/>
      <c r="B70" s="24"/>
      <c r="C70" s="24"/>
      <c r="D70" s="24"/>
      <c r="E70" s="24"/>
      <c r="F70" s="24"/>
      <c r="G70" s="24"/>
      <c r="H70" s="24"/>
    </row>
    <row r="71" ht="15.75" customHeight="1">
      <c r="A71" s="24"/>
      <c r="B71" s="24"/>
      <c r="C71" s="24"/>
      <c r="D71" s="24"/>
      <c r="E71" s="24"/>
      <c r="F71" s="24"/>
      <c r="G71" s="24"/>
      <c r="H71" s="24"/>
    </row>
    <row r="72" ht="15.75" customHeight="1">
      <c r="A72" s="24"/>
      <c r="B72" s="24"/>
      <c r="C72" s="24"/>
      <c r="D72" s="24"/>
      <c r="E72" s="24"/>
      <c r="F72" s="24"/>
      <c r="G72" s="24"/>
      <c r="H72" s="24"/>
    </row>
    <row r="73" ht="15.75" customHeight="1">
      <c r="A73" s="24"/>
      <c r="B73" s="24"/>
      <c r="C73" s="24"/>
      <c r="D73" s="24"/>
      <c r="E73" s="24"/>
      <c r="F73" s="24"/>
      <c r="G73" s="24"/>
      <c r="H73" s="24"/>
    </row>
    <row r="74" ht="15.75" customHeight="1">
      <c r="A74" s="24"/>
      <c r="B74" s="24"/>
      <c r="C74" s="24"/>
      <c r="D74" s="24"/>
      <c r="E74" s="24"/>
      <c r="F74" s="24"/>
      <c r="G74" s="24"/>
      <c r="H74" s="24"/>
    </row>
    <row r="75" ht="15.75" customHeight="1">
      <c r="A75" s="24"/>
      <c r="B75" s="24"/>
      <c r="C75" s="24"/>
      <c r="D75" s="24"/>
      <c r="E75" s="24"/>
      <c r="F75" s="24"/>
      <c r="G75" s="24"/>
      <c r="H75" s="24"/>
    </row>
    <row r="76" ht="15.75" customHeight="1">
      <c r="A76" s="24"/>
      <c r="B76" s="24"/>
      <c r="C76" s="24"/>
      <c r="D76" s="24"/>
      <c r="E76" s="24"/>
      <c r="F76" s="24"/>
      <c r="G76" s="24"/>
      <c r="H76" s="24"/>
    </row>
    <row r="77" ht="15.75" customHeight="1">
      <c r="A77" s="24"/>
      <c r="B77" s="24"/>
      <c r="C77" s="24"/>
      <c r="D77" s="24"/>
      <c r="E77" s="24"/>
      <c r="F77" s="24"/>
      <c r="G77" s="24"/>
      <c r="H77" s="24"/>
    </row>
    <row r="78" ht="15.75" customHeight="1">
      <c r="A78" s="24"/>
      <c r="B78" s="24"/>
      <c r="C78" s="24"/>
      <c r="D78" s="24"/>
      <c r="E78" s="24"/>
      <c r="F78" s="24"/>
      <c r="G78" s="24"/>
      <c r="H78" s="24"/>
    </row>
    <row r="79" ht="15.75" customHeight="1">
      <c r="A79" s="24"/>
      <c r="B79" s="24"/>
      <c r="C79" s="24"/>
      <c r="D79" s="24"/>
      <c r="E79" s="24"/>
      <c r="F79" s="24"/>
      <c r="G79" s="24"/>
      <c r="H79" s="24"/>
    </row>
    <row r="80" ht="15.75" customHeight="1">
      <c r="A80" s="24"/>
      <c r="B80" s="24"/>
      <c r="C80" s="24"/>
      <c r="D80" s="24"/>
      <c r="E80" s="24"/>
      <c r="F80" s="24"/>
      <c r="G80" s="24"/>
      <c r="H80" s="24"/>
    </row>
    <row r="81" ht="15.75" customHeight="1">
      <c r="A81" s="24"/>
      <c r="B81" s="24"/>
      <c r="C81" s="24"/>
      <c r="D81" s="24"/>
      <c r="E81" s="24"/>
      <c r="F81" s="24"/>
      <c r="G81" s="24"/>
      <c r="H81" s="24"/>
    </row>
    <row r="82" ht="15.75" customHeight="1">
      <c r="A82" s="24"/>
      <c r="B82" s="24"/>
      <c r="C82" s="24"/>
      <c r="D82" s="24"/>
      <c r="E82" s="24"/>
      <c r="F82" s="24"/>
      <c r="G82" s="24"/>
      <c r="H82" s="24"/>
    </row>
    <row r="83" ht="15.75" customHeight="1">
      <c r="A83" s="24"/>
      <c r="B83" s="24"/>
      <c r="C83" s="24"/>
      <c r="D83" s="24"/>
      <c r="E83" s="24"/>
      <c r="F83" s="24"/>
      <c r="G83" s="24"/>
      <c r="H83" s="24"/>
    </row>
    <row r="84" ht="15.75" customHeight="1">
      <c r="A84" s="24"/>
      <c r="B84" s="24"/>
      <c r="C84" s="24"/>
      <c r="D84" s="24"/>
      <c r="E84" s="24"/>
      <c r="F84" s="24"/>
      <c r="G84" s="24"/>
      <c r="H84" s="24"/>
    </row>
    <row r="85" ht="15.75" customHeight="1">
      <c r="A85" s="24"/>
      <c r="B85" s="24"/>
      <c r="C85" s="24"/>
      <c r="D85" s="24"/>
      <c r="E85" s="24"/>
      <c r="F85" s="24"/>
      <c r="G85" s="24"/>
      <c r="H85" s="24"/>
    </row>
    <row r="86" ht="15.75" customHeight="1">
      <c r="A86" s="24"/>
      <c r="B86" s="24"/>
      <c r="C86" s="24"/>
      <c r="D86" s="24"/>
      <c r="E86" s="24"/>
      <c r="F86" s="24"/>
      <c r="G86" s="24"/>
      <c r="H86" s="24"/>
    </row>
    <row r="87" ht="15.75" customHeight="1">
      <c r="A87" s="24"/>
      <c r="B87" s="24"/>
      <c r="C87" s="24"/>
      <c r="D87" s="24"/>
      <c r="E87" s="24"/>
      <c r="F87" s="24"/>
      <c r="G87" s="24"/>
      <c r="H87" s="24"/>
    </row>
    <row r="88" ht="15.75" customHeight="1">
      <c r="A88" s="24"/>
      <c r="B88" s="24"/>
      <c r="C88" s="24"/>
      <c r="D88" s="24"/>
      <c r="E88" s="24"/>
      <c r="F88" s="24"/>
      <c r="G88" s="24"/>
      <c r="H88" s="24"/>
    </row>
    <row r="89" ht="15.75" customHeight="1">
      <c r="A89" s="24"/>
      <c r="B89" s="24"/>
      <c r="C89" s="24"/>
      <c r="D89" s="24"/>
      <c r="E89" s="24"/>
      <c r="F89" s="24"/>
      <c r="G89" s="24"/>
      <c r="H89" s="24"/>
    </row>
    <row r="90" ht="15.75" customHeight="1">
      <c r="A90" s="24"/>
      <c r="B90" s="24"/>
      <c r="C90" s="24"/>
      <c r="D90" s="24"/>
      <c r="E90" s="24"/>
      <c r="F90" s="24"/>
      <c r="G90" s="24"/>
      <c r="H90" s="24"/>
    </row>
    <row r="91" ht="15.75" customHeight="1">
      <c r="A91" s="24"/>
      <c r="B91" s="24"/>
      <c r="C91" s="24"/>
      <c r="D91" s="24"/>
      <c r="E91" s="24"/>
      <c r="F91" s="24"/>
      <c r="G91" s="24"/>
      <c r="H91" s="24"/>
    </row>
    <row r="92" ht="15.75" customHeight="1">
      <c r="A92" s="24"/>
      <c r="B92" s="24"/>
      <c r="C92" s="24"/>
      <c r="D92" s="24"/>
      <c r="E92" s="24"/>
      <c r="F92" s="24"/>
      <c r="G92" s="24"/>
      <c r="H92" s="24"/>
    </row>
    <row r="93" ht="15.75" customHeight="1">
      <c r="A93" s="24"/>
      <c r="B93" s="24"/>
      <c r="C93" s="24"/>
      <c r="D93" s="24"/>
      <c r="E93" s="24"/>
      <c r="F93" s="24"/>
      <c r="G93" s="24"/>
      <c r="H93" s="24"/>
    </row>
    <row r="94" ht="15.75" customHeight="1">
      <c r="A94" s="24"/>
      <c r="B94" s="24"/>
      <c r="C94" s="24"/>
      <c r="D94" s="24"/>
      <c r="E94" s="24"/>
      <c r="F94" s="24"/>
      <c r="G94" s="24"/>
      <c r="H94" s="24"/>
    </row>
    <row r="95" ht="15.75" customHeight="1">
      <c r="A95" s="24"/>
      <c r="B95" s="24"/>
      <c r="C95" s="24"/>
      <c r="D95" s="24"/>
      <c r="E95" s="24"/>
      <c r="F95" s="24"/>
      <c r="G95" s="24"/>
      <c r="H95" s="24"/>
    </row>
    <row r="96" ht="15.75" customHeight="1">
      <c r="A96" s="24"/>
      <c r="B96" s="24"/>
      <c r="C96" s="24"/>
      <c r="D96" s="24"/>
      <c r="E96" s="24"/>
      <c r="F96" s="24"/>
      <c r="G96" s="24"/>
      <c r="H96" s="24"/>
    </row>
    <row r="97" ht="15.75" customHeight="1">
      <c r="A97" s="24"/>
      <c r="B97" s="24"/>
      <c r="C97" s="24"/>
      <c r="D97" s="24"/>
      <c r="E97" s="24"/>
      <c r="F97" s="24"/>
      <c r="G97" s="24"/>
      <c r="H97" s="24"/>
    </row>
    <row r="98" ht="15.75" customHeight="1">
      <c r="A98" s="24"/>
      <c r="B98" s="24"/>
      <c r="C98" s="24"/>
      <c r="D98" s="24"/>
      <c r="E98" s="24"/>
      <c r="F98" s="24"/>
      <c r="G98" s="24"/>
      <c r="H98" s="24"/>
    </row>
    <row r="99" ht="15.75" customHeight="1">
      <c r="A99" s="24"/>
      <c r="B99" s="24"/>
      <c r="C99" s="24"/>
      <c r="D99" s="24"/>
      <c r="E99" s="24"/>
      <c r="F99" s="24"/>
      <c r="G99" s="24"/>
      <c r="H99" s="24"/>
    </row>
    <row r="100" ht="15.75" customHeight="1">
      <c r="A100" s="24"/>
      <c r="B100" s="24"/>
      <c r="C100" s="24"/>
      <c r="D100" s="24"/>
      <c r="E100" s="24"/>
      <c r="F100" s="24"/>
      <c r="G100" s="24"/>
      <c r="H100" s="24"/>
    </row>
    <row r="101" ht="15.75" customHeight="1">
      <c r="A101" s="24"/>
      <c r="B101" s="24"/>
      <c r="C101" s="24"/>
      <c r="D101" s="24"/>
      <c r="E101" s="24"/>
      <c r="F101" s="24"/>
      <c r="G101" s="24"/>
      <c r="H101" s="24"/>
    </row>
    <row r="102" ht="15.75" customHeight="1">
      <c r="A102" s="24"/>
      <c r="B102" s="24"/>
      <c r="C102" s="24"/>
      <c r="D102" s="24"/>
      <c r="E102" s="24"/>
      <c r="F102" s="24"/>
      <c r="G102" s="24"/>
      <c r="H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</row>
  </sheetData>
  <mergeCells count="7">
    <mergeCell ref="A1:H1"/>
    <mergeCell ref="A2:H2"/>
    <mergeCell ref="B3:D3"/>
    <mergeCell ref="F3:H3"/>
    <mergeCell ref="B4:D4"/>
    <mergeCell ref="F4:H4"/>
    <mergeCell ref="A16:H16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34.0"/>
    <col customWidth="1" min="3" max="3" width="8.0"/>
    <col customWidth="1" min="4" max="6" width="26.0"/>
    <col customWidth="1" min="7" max="7" width="28.0"/>
    <col customWidth="1" min="8" max="8" width="11.0"/>
    <col customWidth="1" min="9" max="26" width="8.71"/>
  </cols>
  <sheetData>
    <row r="1">
      <c r="A1" s="21" t="s">
        <v>85</v>
      </c>
    </row>
    <row r="2">
      <c r="A2" s="22" t="s">
        <v>86</v>
      </c>
    </row>
    <row r="3">
      <c r="A3" s="23" t="s">
        <v>41</v>
      </c>
      <c r="B3" s="24"/>
      <c r="E3" s="23" t="s">
        <v>42</v>
      </c>
      <c r="F3" s="24"/>
    </row>
    <row r="4">
      <c r="A4" s="23" t="s">
        <v>43</v>
      </c>
      <c r="B4" s="24"/>
      <c r="E4" s="23" t="s">
        <v>44</v>
      </c>
      <c r="F4" s="24"/>
    </row>
    <row r="5">
      <c r="A5" s="24"/>
      <c r="B5" s="24"/>
      <c r="C5" s="24"/>
      <c r="D5" s="24"/>
      <c r="E5" s="24"/>
      <c r="F5" s="24"/>
      <c r="G5" s="24"/>
      <c r="H5" s="24"/>
    </row>
    <row r="6">
      <c r="A6" s="25" t="s">
        <v>45</v>
      </c>
      <c r="B6" s="25" t="s">
        <v>46</v>
      </c>
      <c r="C6" s="25" t="s">
        <v>12</v>
      </c>
      <c r="D6" s="25" t="s">
        <v>47</v>
      </c>
      <c r="E6" s="25" t="s">
        <v>48</v>
      </c>
      <c r="F6" s="25" t="s">
        <v>49</v>
      </c>
      <c r="G6" s="25" t="s">
        <v>50</v>
      </c>
      <c r="H6" s="25" t="s">
        <v>51</v>
      </c>
    </row>
    <row r="7">
      <c r="A7" s="26" t="s">
        <v>87</v>
      </c>
      <c r="B7" s="29" t="s">
        <v>88</v>
      </c>
      <c r="C7" s="28">
        <v>0.25</v>
      </c>
      <c r="D7" s="29" t="s">
        <v>89</v>
      </c>
      <c r="E7" s="29" t="s">
        <v>90</v>
      </c>
      <c r="F7" s="29" t="s">
        <v>91</v>
      </c>
      <c r="G7" s="29" t="s">
        <v>92</v>
      </c>
      <c r="H7" s="28"/>
    </row>
    <row r="8">
      <c r="A8" s="26" t="s">
        <v>93</v>
      </c>
      <c r="B8" s="29" t="s">
        <v>94</v>
      </c>
      <c r="C8" s="28">
        <v>0.15</v>
      </c>
      <c r="D8" s="29" t="s">
        <v>95</v>
      </c>
      <c r="E8" s="29" t="s">
        <v>96</v>
      </c>
      <c r="F8" s="29" t="s">
        <v>97</v>
      </c>
      <c r="G8" s="29" t="s">
        <v>98</v>
      </c>
      <c r="H8" s="28"/>
    </row>
    <row r="9">
      <c r="A9" s="26" t="s">
        <v>99</v>
      </c>
      <c r="B9" s="29" t="s">
        <v>100</v>
      </c>
      <c r="C9" s="28">
        <v>0.25</v>
      </c>
      <c r="D9" s="29" t="s">
        <v>101</v>
      </c>
      <c r="E9" s="29" t="s">
        <v>102</v>
      </c>
      <c r="F9" s="29" t="s">
        <v>103</v>
      </c>
      <c r="G9" s="29" t="s">
        <v>104</v>
      </c>
      <c r="H9" s="28"/>
    </row>
    <row r="10">
      <c r="A10" s="26" t="s">
        <v>105</v>
      </c>
      <c r="B10" s="29" t="s">
        <v>106</v>
      </c>
      <c r="C10" s="30">
        <v>0.15</v>
      </c>
      <c r="D10" s="29" t="s">
        <v>107</v>
      </c>
      <c r="E10" s="29" t="s">
        <v>108</v>
      </c>
      <c r="F10" s="29" t="s">
        <v>109</v>
      </c>
      <c r="G10" s="29" t="s">
        <v>110</v>
      </c>
      <c r="H10" s="28"/>
    </row>
    <row r="11">
      <c r="A11" s="26" t="s">
        <v>111</v>
      </c>
      <c r="B11" s="29" t="s">
        <v>112</v>
      </c>
      <c r="C11" s="30">
        <v>0.2</v>
      </c>
      <c r="D11" s="29" t="s">
        <v>113</v>
      </c>
      <c r="E11" s="29" t="s">
        <v>114</v>
      </c>
      <c r="F11" s="29" t="s">
        <v>115</v>
      </c>
      <c r="G11" s="29" t="s">
        <v>116</v>
      </c>
      <c r="H11" s="28"/>
    </row>
    <row r="12">
      <c r="A12" s="24"/>
      <c r="B12" s="24"/>
      <c r="C12" s="24"/>
      <c r="D12" s="24"/>
      <c r="E12" s="24"/>
      <c r="F12" s="24"/>
      <c r="G12" s="24"/>
      <c r="H12" s="24"/>
    </row>
    <row r="13">
      <c r="A13" s="23" t="s">
        <v>82</v>
      </c>
      <c r="B13" s="24"/>
      <c r="C13" s="31">
        <f>ROUND(SUMPRODUCT(C7:C11,H7:H11)/3*10,2)</f>
        <v>0</v>
      </c>
      <c r="D13" s="24"/>
      <c r="E13" s="24"/>
      <c r="F13" s="24"/>
      <c r="G13" s="24"/>
      <c r="H13" s="24"/>
    </row>
    <row r="14">
      <c r="A14" s="23" t="s">
        <v>83</v>
      </c>
      <c r="B14" s="24"/>
      <c r="C14" s="32" t="str">
        <f>IF(C13&gt;=3.5,"Supera","No supera")</f>
        <v>No supera</v>
      </c>
      <c r="D14" s="24"/>
      <c r="E14" s="24"/>
      <c r="F14" s="24"/>
      <c r="G14" s="24"/>
      <c r="H14" s="24"/>
    </row>
    <row r="15">
      <c r="A15" s="24"/>
      <c r="B15" s="24"/>
      <c r="C15" s="24"/>
      <c r="D15" s="24"/>
      <c r="E15" s="24"/>
      <c r="F15" s="24"/>
      <c r="G15" s="24"/>
      <c r="H15" s="24"/>
    </row>
    <row r="16">
      <c r="A16" s="33" t="s">
        <v>117</v>
      </c>
    </row>
    <row r="17">
      <c r="A17" s="24"/>
      <c r="B17" s="24"/>
      <c r="C17" s="24"/>
      <c r="D17" s="24"/>
      <c r="E17" s="24"/>
      <c r="F17" s="24"/>
      <c r="G17" s="24"/>
      <c r="H17" s="24"/>
    </row>
    <row r="18">
      <c r="A18" s="24"/>
      <c r="B18" s="24"/>
      <c r="C18" s="24"/>
      <c r="D18" s="24"/>
      <c r="E18" s="24"/>
      <c r="F18" s="24"/>
      <c r="G18" s="24"/>
      <c r="H18" s="24"/>
    </row>
    <row r="19">
      <c r="A19" s="24"/>
      <c r="B19" s="24"/>
      <c r="C19" s="24"/>
      <c r="D19" s="24"/>
      <c r="E19" s="24"/>
      <c r="F19" s="24"/>
      <c r="G19" s="24"/>
      <c r="H19" s="24"/>
    </row>
    <row r="20">
      <c r="A20" s="24"/>
      <c r="B20" s="24"/>
      <c r="C20" s="24"/>
      <c r="D20" s="24"/>
      <c r="E20" s="24"/>
      <c r="F20" s="24"/>
      <c r="G20" s="24"/>
      <c r="H20" s="24"/>
    </row>
    <row r="21" ht="15.75" customHeight="1">
      <c r="A21" s="24"/>
      <c r="B21" s="24"/>
      <c r="C21" s="24"/>
      <c r="D21" s="24"/>
      <c r="E21" s="24"/>
      <c r="F21" s="24"/>
      <c r="G21" s="24"/>
      <c r="H21" s="24"/>
    </row>
    <row r="22" ht="15.75" customHeight="1">
      <c r="A22" s="24"/>
      <c r="B22" s="24"/>
      <c r="C22" s="24"/>
      <c r="D22" s="24"/>
      <c r="E22" s="24"/>
      <c r="F22" s="24"/>
      <c r="G22" s="24"/>
      <c r="H22" s="24"/>
    </row>
    <row r="23" ht="15.75" customHeight="1">
      <c r="A23" s="24"/>
      <c r="B23" s="24"/>
      <c r="C23" s="24"/>
      <c r="D23" s="24"/>
      <c r="E23" s="24"/>
      <c r="F23" s="24"/>
      <c r="G23" s="24"/>
      <c r="H23" s="24"/>
    </row>
    <row r="24" ht="15.75" customHeight="1">
      <c r="A24" s="24"/>
      <c r="B24" s="24"/>
      <c r="C24" s="24"/>
      <c r="D24" s="24"/>
      <c r="E24" s="24"/>
      <c r="F24" s="24"/>
      <c r="G24" s="24"/>
      <c r="H24" s="24"/>
    </row>
    <row r="25" ht="15.75" customHeight="1">
      <c r="A25" s="24"/>
      <c r="B25" s="24"/>
      <c r="C25" s="24"/>
      <c r="D25" s="24"/>
      <c r="E25" s="24"/>
      <c r="F25" s="24"/>
      <c r="G25" s="24"/>
      <c r="H25" s="24"/>
    </row>
    <row r="26" ht="15.75" customHeight="1">
      <c r="A26" s="24"/>
      <c r="B26" s="24"/>
      <c r="C26" s="24"/>
      <c r="D26" s="24"/>
      <c r="E26" s="24"/>
      <c r="F26" s="24"/>
      <c r="G26" s="24"/>
      <c r="H26" s="24"/>
    </row>
    <row r="27" ht="15.75" customHeight="1">
      <c r="A27" s="24"/>
      <c r="B27" s="24"/>
      <c r="C27" s="24"/>
      <c r="D27" s="24"/>
      <c r="E27" s="24"/>
      <c r="F27" s="24"/>
      <c r="G27" s="24"/>
      <c r="H27" s="24"/>
    </row>
    <row r="28" ht="15.75" customHeight="1">
      <c r="A28" s="24"/>
      <c r="B28" s="24"/>
      <c r="C28" s="24"/>
      <c r="D28" s="24"/>
      <c r="E28" s="24"/>
      <c r="F28" s="24"/>
      <c r="G28" s="24"/>
      <c r="H28" s="24"/>
    </row>
    <row r="29" ht="15.75" customHeight="1">
      <c r="A29" s="24"/>
      <c r="B29" s="24"/>
      <c r="C29" s="24"/>
      <c r="D29" s="24"/>
      <c r="E29" s="24"/>
      <c r="F29" s="24"/>
      <c r="G29" s="24"/>
      <c r="H29" s="24"/>
    </row>
    <row r="30" ht="15.75" customHeight="1">
      <c r="A30" s="24"/>
      <c r="B30" s="24"/>
      <c r="C30" s="24"/>
      <c r="D30" s="24"/>
      <c r="E30" s="24"/>
      <c r="F30" s="24"/>
      <c r="G30" s="24"/>
      <c r="H30" s="24"/>
    </row>
    <row r="31" ht="15.75" customHeight="1">
      <c r="A31" s="24"/>
      <c r="B31" s="24"/>
      <c r="C31" s="24"/>
      <c r="D31" s="24"/>
      <c r="E31" s="24"/>
      <c r="F31" s="24"/>
      <c r="G31" s="24"/>
      <c r="H31" s="24"/>
    </row>
    <row r="32" ht="15.75" customHeight="1">
      <c r="A32" s="24"/>
      <c r="B32" s="24"/>
      <c r="C32" s="24"/>
      <c r="D32" s="24"/>
      <c r="E32" s="24"/>
      <c r="F32" s="24"/>
      <c r="G32" s="24"/>
      <c r="H32" s="24"/>
    </row>
    <row r="33" ht="15.75" customHeight="1">
      <c r="A33" s="24"/>
      <c r="B33" s="24"/>
      <c r="C33" s="24"/>
      <c r="D33" s="24"/>
      <c r="E33" s="24"/>
      <c r="F33" s="24"/>
      <c r="G33" s="24"/>
      <c r="H33" s="24"/>
    </row>
    <row r="34" ht="15.75" customHeight="1">
      <c r="A34" s="24"/>
      <c r="B34" s="24"/>
      <c r="C34" s="24"/>
      <c r="D34" s="24"/>
      <c r="E34" s="24"/>
      <c r="F34" s="24"/>
      <c r="G34" s="24"/>
      <c r="H34" s="24"/>
    </row>
    <row r="35" ht="15.75" customHeight="1">
      <c r="A35" s="24"/>
      <c r="B35" s="24"/>
      <c r="C35" s="24"/>
      <c r="D35" s="24"/>
      <c r="E35" s="24"/>
      <c r="F35" s="24"/>
      <c r="G35" s="24"/>
      <c r="H35" s="24"/>
    </row>
    <row r="36" ht="15.75" customHeight="1">
      <c r="A36" s="24"/>
      <c r="B36" s="24"/>
      <c r="C36" s="24"/>
      <c r="D36" s="24"/>
      <c r="E36" s="24"/>
      <c r="F36" s="24"/>
      <c r="G36" s="24"/>
      <c r="H36" s="24"/>
    </row>
    <row r="37" ht="15.75" customHeight="1">
      <c r="A37" s="24"/>
      <c r="B37" s="24"/>
      <c r="C37" s="24"/>
      <c r="D37" s="24"/>
      <c r="E37" s="24"/>
      <c r="F37" s="24"/>
      <c r="G37" s="24"/>
      <c r="H37" s="24"/>
    </row>
    <row r="38" ht="15.75" customHeight="1">
      <c r="A38" s="24"/>
      <c r="B38" s="24"/>
      <c r="C38" s="24"/>
      <c r="D38" s="24"/>
      <c r="E38" s="24"/>
      <c r="F38" s="24"/>
      <c r="G38" s="24"/>
      <c r="H38" s="24"/>
    </row>
    <row r="39" ht="15.75" customHeight="1">
      <c r="A39" s="24"/>
      <c r="B39" s="24"/>
      <c r="C39" s="24"/>
      <c r="D39" s="24"/>
      <c r="E39" s="24"/>
      <c r="F39" s="24"/>
      <c r="G39" s="24"/>
      <c r="H39" s="24"/>
    </row>
    <row r="40" ht="15.75" customHeight="1">
      <c r="A40" s="24"/>
      <c r="B40" s="24"/>
      <c r="C40" s="24"/>
      <c r="D40" s="24"/>
      <c r="E40" s="24"/>
      <c r="F40" s="24"/>
      <c r="G40" s="24"/>
      <c r="H40" s="24"/>
    </row>
    <row r="41" ht="15.75" customHeight="1">
      <c r="A41" s="24"/>
      <c r="B41" s="24"/>
      <c r="C41" s="24"/>
      <c r="D41" s="24"/>
      <c r="E41" s="24"/>
      <c r="F41" s="24"/>
      <c r="G41" s="24"/>
      <c r="H41" s="24"/>
    </row>
    <row r="42" ht="15.75" customHeight="1">
      <c r="A42" s="24"/>
      <c r="B42" s="24"/>
      <c r="C42" s="24"/>
      <c r="D42" s="24"/>
      <c r="E42" s="24"/>
      <c r="F42" s="24"/>
      <c r="G42" s="24"/>
      <c r="H42" s="24"/>
    </row>
    <row r="43" ht="15.75" customHeight="1">
      <c r="A43" s="24"/>
      <c r="B43" s="24"/>
      <c r="C43" s="24"/>
      <c r="D43" s="24"/>
      <c r="E43" s="24"/>
      <c r="F43" s="24"/>
      <c r="G43" s="24"/>
      <c r="H43" s="24"/>
    </row>
    <row r="44" ht="15.75" customHeight="1">
      <c r="A44" s="24"/>
      <c r="B44" s="24"/>
      <c r="C44" s="24"/>
      <c r="D44" s="24"/>
      <c r="E44" s="24"/>
      <c r="F44" s="24"/>
      <c r="G44" s="24"/>
      <c r="H44" s="24"/>
    </row>
    <row r="45" ht="15.75" customHeight="1">
      <c r="A45" s="24"/>
      <c r="B45" s="24"/>
      <c r="C45" s="24"/>
      <c r="D45" s="24"/>
      <c r="E45" s="24"/>
      <c r="F45" s="24"/>
      <c r="G45" s="24"/>
      <c r="H45" s="24"/>
    </row>
    <row r="46" ht="15.75" customHeight="1">
      <c r="A46" s="24"/>
      <c r="B46" s="24"/>
      <c r="C46" s="24"/>
      <c r="D46" s="24"/>
      <c r="E46" s="24"/>
      <c r="F46" s="24"/>
      <c r="G46" s="24"/>
      <c r="H46" s="24"/>
    </row>
    <row r="47" ht="15.75" customHeight="1">
      <c r="A47" s="24"/>
      <c r="B47" s="24"/>
      <c r="C47" s="24"/>
      <c r="D47" s="24"/>
      <c r="E47" s="24"/>
      <c r="F47" s="24"/>
      <c r="G47" s="24"/>
      <c r="H47" s="24"/>
    </row>
    <row r="48" ht="15.75" customHeight="1">
      <c r="A48" s="24"/>
      <c r="B48" s="24"/>
      <c r="C48" s="24"/>
      <c r="D48" s="24"/>
      <c r="E48" s="24"/>
      <c r="F48" s="24"/>
      <c r="G48" s="24"/>
      <c r="H48" s="24"/>
    </row>
    <row r="49" ht="15.75" customHeight="1">
      <c r="A49" s="24"/>
      <c r="B49" s="24"/>
      <c r="C49" s="24"/>
      <c r="D49" s="24"/>
      <c r="E49" s="24"/>
      <c r="F49" s="24"/>
      <c r="G49" s="24"/>
      <c r="H49" s="24"/>
    </row>
    <row r="50" ht="15.75" customHeight="1">
      <c r="A50" s="24"/>
      <c r="B50" s="24"/>
      <c r="C50" s="24"/>
      <c r="D50" s="24"/>
      <c r="E50" s="24"/>
      <c r="F50" s="24"/>
      <c r="G50" s="24"/>
      <c r="H50" s="24"/>
    </row>
    <row r="51" ht="15.75" customHeight="1">
      <c r="A51" s="24"/>
      <c r="B51" s="24"/>
      <c r="C51" s="24"/>
      <c r="D51" s="24"/>
      <c r="E51" s="24"/>
      <c r="F51" s="24"/>
      <c r="G51" s="24"/>
      <c r="H51" s="24"/>
    </row>
    <row r="52" ht="15.75" customHeight="1">
      <c r="A52" s="24"/>
      <c r="B52" s="24"/>
      <c r="C52" s="24"/>
      <c r="D52" s="24"/>
      <c r="E52" s="24"/>
      <c r="F52" s="24"/>
      <c r="G52" s="24"/>
      <c r="H52" s="24"/>
    </row>
    <row r="53" ht="15.75" customHeight="1">
      <c r="A53" s="24"/>
      <c r="B53" s="24"/>
      <c r="C53" s="24"/>
      <c r="D53" s="24"/>
      <c r="E53" s="24"/>
      <c r="F53" s="24"/>
      <c r="G53" s="24"/>
      <c r="H53" s="24"/>
    </row>
    <row r="54" ht="15.75" customHeight="1">
      <c r="A54" s="24"/>
      <c r="B54" s="24"/>
      <c r="C54" s="24"/>
      <c r="D54" s="24"/>
      <c r="E54" s="24"/>
      <c r="F54" s="24"/>
      <c r="G54" s="24"/>
      <c r="H54" s="24"/>
    </row>
    <row r="55" ht="15.75" customHeight="1">
      <c r="A55" s="24"/>
      <c r="B55" s="24"/>
      <c r="C55" s="24"/>
      <c r="D55" s="24"/>
      <c r="E55" s="24"/>
      <c r="F55" s="24"/>
      <c r="G55" s="24"/>
      <c r="H55" s="24"/>
    </row>
    <row r="56" ht="15.75" customHeight="1">
      <c r="A56" s="24"/>
      <c r="B56" s="24"/>
      <c r="C56" s="24"/>
      <c r="D56" s="24"/>
      <c r="E56" s="24"/>
      <c r="F56" s="24"/>
      <c r="G56" s="24"/>
      <c r="H56" s="24"/>
    </row>
    <row r="57" ht="15.75" customHeight="1">
      <c r="A57" s="24"/>
      <c r="B57" s="24"/>
      <c r="C57" s="24"/>
      <c r="D57" s="24"/>
      <c r="E57" s="24"/>
      <c r="F57" s="24"/>
      <c r="G57" s="24"/>
      <c r="H57" s="24"/>
    </row>
    <row r="58" ht="15.75" customHeight="1">
      <c r="A58" s="24"/>
      <c r="B58" s="24"/>
      <c r="C58" s="24"/>
      <c r="D58" s="24"/>
      <c r="E58" s="24"/>
      <c r="F58" s="24"/>
      <c r="G58" s="24"/>
      <c r="H58" s="24"/>
    </row>
    <row r="59" ht="15.75" customHeight="1">
      <c r="A59" s="24"/>
      <c r="B59" s="24"/>
      <c r="C59" s="24"/>
      <c r="D59" s="24"/>
      <c r="E59" s="24"/>
      <c r="F59" s="24"/>
      <c r="G59" s="24"/>
      <c r="H59" s="24"/>
    </row>
    <row r="60" ht="15.75" customHeight="1">
      <c r="A60" s="24"/>
      <c r="B60" s="24"/>
      <c r="C60" s="24"/>
      <c r="D60" s="24"/>
      <c r="E60" s="24"/>
      <c r="F60" s="24"/>
      <c r="G60" s="24"/>
      <c r="H60" s="24"/>
    </row>
    <row r="61" ht="15.75" customHeight="1">
      <c r="A61" s="24"/>
      <c r="B61" s="24"/>
      <c r="C61" s="24"/>
      <c r="D61" s="24"/>
      <c r="E61" s="24"/>
      <c r="F61" s="24"/>
      <c r="G61" s="24"/>
      <c r="H61" s="24"/>
    </row>
    <row r="62" ht="15.75" customHeight="1">
      <c r="A62" s="24"/>
      <c r="B62" s="24"/>
      <c r="C62" s="24"/>
      <c r="D62" s="24"/>
      <c r="E62" s="24"/>
      <c r="F62" s="24"/>
      <c r="G62" s="24"/>
      <c r="H62" s="24"/>
    </row>
    <row r="63" ht="15.75" customHeight="1">
      <c r="A63" s="24"/>
      <c r="B63" s="24"/>
      <c r="C63" s="24"/>
      <c r="D63" s="24"/>
      <c r="E63" s="24"/>
      <c r="F63" s="24"/>
      <c r="G63" s="24"/>
      <c r="H63" s="24"/>
    </row>
    <row r="64" ht="15.75" customHeight="1">
      <c r="A64" s="24"/>
      <c r="B64" s="24"/>
      <c r="C64" s="24"/>
      <c r="D64" s="24"/>
      <c r="E64" s="24"/>
      <c r="F64" s="24"/>
      <c r="G64" s="24"/>
      <c r="H64" s="24"/>
    </row>
    <row r="65" ht="15.75" customHeight="1">
      <c r="A65" s="24"/>
      <c r="B65" s="24"/>
      <c r="C65" s="24"/>
      <c r="D65" s="24"/>
      <c r="E65" s="24"/>
      <c r="F65" s="24"/>
      <c r="G65" s="24"/>
      <c r="H65" s="24"/>
    </row>
    <row r="66" ht="15.75" customHeight="1">
      <c r="A66" s="24"/>
      <c r="B66" s="24"/>
      <c r="C66" s="24"/>
      <c r="D66" s="24"/>
      <c r="E66" s="24"/>
      <c r="F66" s="24"/>
      <c r="G66" s="24"/>
      <c r="H66" s="24"/>
    </row>
    <row r="67" ht="15.75" customHeight="1">
      <c r="A67" s="24"/>
      <c r="B67" s="24"/>
      <c r="C67" s="24"/>
      <c r="D67" s="24"/>
      <c r="E67" s="24"/>
      <c r="F67" s="24"/>
      <c r="G67" s="24"/>
      <c r="H67" s="24"/>
    </row>
    <row r="68" ht="15.75" customHeight="1">
      <c r="A68" s="24"/>
      <c r="B68" s="24"/>
      <c r="C68" s="24"/>
      <c r="D68" s="24"/>
      <c r="E68" s="24"/>
      <c r="F68" s="24"/>
      <c r="G68" s="24"/>
      <c r="H68" s="24"/>
    </row>
    <row r="69" ht="15.75" customHeight="1">
      <c r="A69" s="24"/>
      <c r="B69" s="24"/>
      <c r="C69" s="24"/>
      <c r="D69" s="24"/>
      <c r="E69" s="24"/>
      <c r="F69" s="24"/>
      <c r="G69" s="24"/>
      <c r="H69" s="24"/>
    </row>
    <row r="70" ht="15.75" customHeight="1">
      <c r="A70" s="24"/>
      <c r="B70" s="24"/>
      <c r="C70" s="24"/>
      <c r="D70" s="24"/>
      <c r="E70" s="24"/>
      <c r="F70" s="24"/>
      <c r="G70" s="24"/>
      <c r="H70" s="24"/>
    </row>
    <row r="71" ht="15.75" customHeight="1">
      <c r="A71" s="24"/>
      <c r="B71" s="24"/>
      <c r="C71" s="24"/>
      <c r="D71" s="24"/>
      <c r="E71" s="24"/>
      <c r="F71" s="24"/>
      <c r="G71" s="24"/>
      <c r="H71" s="24"/>
    </row>
    <row r="72" ht="15.75" customHeight="1">
      <c r="A72" s="24"/>
      <c r="B72" s="24"/>
      <c r="C72" s="24"/>
      <c r="D72" s="24"/>
      <c r="E72" s="24"/>
      <c r="F72" s="24"/>
      <c r="G72" s="24"/>
      <c r="H72" s="24"/>
    </row>
    <row r="73" ht="15.75" customHeight="1">
      <c r="A73" s="24"/>
      <c r="B73" s="24"/>
      <c r="C73" s="24"/>
      <c r="D73" s="24"/>
      <c r="E73" s="24"/>
      <c r="F73" s="24"/>
      <c r="G73" s="24"/>
      <c r="H73" s="24"/>
    </row>
    <row r="74" ht="15.75" customHeight="1">
      <c r="A74" s="24"/>
      <c r="B74" s="24"/>
      <c r="C74" s="24"/>
      <c r="D74" s="24"/>
      <c r="E74" s="24"/>
      <c r="F74" s="24"/>
      <c r="G74" s="24"/>
      <c r="H74" s="24"/>
    </row>
    <row r="75" ht="15.75" customHeight="1">
      <c r="A75" s="24"/>
      <c r="B75" s="24"/>
      <c r="C75" s="24"/>
      <c r="D75" s="24"/>
      <c r="E75" s="24"/>
      <c r="F75" s="24"/>
      <c r="G75" s="24"/>
      <c r="H75" s="24"/>
    </row>
    <row r="76" ht="15.75" customHeight="1">
      <c r="A76" s="24"/>
      <c r="B76" s="24"/>
      <c r="C76" s="24"/>
      <c r="D76" s="24"/>
      <c r="E76" s="24"/>
      <c r="F76" s="24"/>
      <c r="G76" s="24"/>
      <c r="H76" s="24"/>
    </row>
    <row r="77" ht="15.75" customHeight="1">
      <c r="A77" s="24"/>
      <c r="B77" s="24"/>
      <c r="C77" s="24"/>
      <c r="D77" s="24"/>
      <c r="E77" s="24"/>
      <c r="F77" s="24"/>
      <c r="G77" s="24"/>
      <c r="H77" s="24"/>
    </row>
    <row r="78" ht="15.75" customHeight="1">
      <c r="A78" s="24"/>
      <c r="B78" s="24"/>
      <c r="C78" s="24"/>
      <c r="D78" s="24"/>
      <c r="E78" s="24"/>
      <c r="F78" s="24"/>
      <c r="G78" s="24"/>
      <c r="H78" s="24"/>
    </row>
    <row r="79" ht="15.75" customHeight="1">
      <c r="A79" s="24"/>
      <c r="B79" s="24"/>
      <c r="C79" s="24"/>
      <c r="D79" s="24"/>
      <c r="E79" s="24"/>
      <c r="F79" s="24"/>
      <c r="G79" s="24"/>
      <c r="H79" s="24"/>
    </row>
    <row r="80" ht="15.75" customHeight="1">
      <c r="A80" s="24"/>
      <c r="B80" s="24"/>
      <c r="C80" s="24"/>
      <c r="D80" s="24"/>
      <c r="E80" s="24"/>
      <c r="F80" s="24"/>
      <c r="G80" s="24"/>
      <c r="H80" s="24"/>
    </row>
    <row r="81" ht="15.75" customHeight="1">
      <c r="A81" s="24"/>
      <c r="B81" s="24"/>
      <c r="C81" s="24"/>
      <c r="D81" s="24"/>
      <c r="E81" s="24"/>
      <c r="F81" s="24"/>
      <c r="G81" s="24"/>
      <c r="H81" s="24"/>
    </row>
    <row r="82" ht="15.75" customHeight="1">
      <c r="A82" s="24"/>
      <c r="B82" s="24"/>
      <c r="C82" s="24"/>
      <c r="D82" s="24"/>
      <c r="E82" s="24"/>
      <c r="F82" s="24"/>
      <c r="G82" s="24"/>
      <c r="H82" s="24"/>
    </row>
    <row r="83" ht="15.75" customHeight="1">
      <c r="A83" s="24"/>
      <c r="B83" s="24"/>
      <c r="C83" s="24"/>
      <c r="D83" s="24"/>
      <c r="E83" s="24"/>
      <c r="F83" s="24"/>
      <c r="G83" s="24"/>
      <c r="H83" s="24"/>
    </row>
    <row r="84" ht="15.75" customHeight="1">
      <c r="A84" s="24"/>
      <c r="B84" s="24"/>
      <c r="C84" s="24"/>
      <c r="D84" s="24"/>
      <c r="E84" s="24"/>
      <c r="F84" s="24"/>
      <c r="G84" s="24"/>
      <c r="H84" s="24"/>
    </row>
    <row r="85" ht="15.75" customHeight="1">
      <c r="A85" s="24"/>
      <c r="B85" s="24"/>
      <c r="C85" s="24"/>
      <c r="D85" s="24"/>
      <c r="E85" s="24"/>
      <c r="F85" s="24"/>
      <c r="G85" s="24"/>
      <c r="H85" s="24"/>
    </row>
    <row r="86" ht="15.75" customHeight="1">
      <c r="A86" s="24"/>
      <c r="B86" s="24"/>
      <c r="C86" s="24"/>
      <c r="D86" s="24"/>
      <c r="E86" s="24"/>
      <c r="F86" s="24"/>
      <c r="G86" s="24"/>
      <c r="H86" s="24"/>
    </row>
    <row r="87" ht="15.75" customHeight="1">
      <c r="A87" s="24"/>
      <c r="B87" s="24"/>
      <c r="C87" s="24"/>
      <c r="D87" s="24"/>
      <c r="E87" s="24"/>
      <c r="F87" s="24"/>
      <c r="G87" s="24"/>
      <c r="H87" s="24"/>
    </row>
    <row r="88" ht="15.75" customHeight="1">
      <c r="A88" s="24"/>
      <c r="B88" s="24"/>
      <c r="C88" s="24"/>
      <c r="D88" s="24"/>
      <c r="E88" s="24"/>
      <c r="F88" s="24"/>
      <c r="G88" s="24"/>
      <c r="H88" s="24"/>
    </row>
    <row r="89" ht="15.75" customHeight="1">
      <c r="A89" s="24"/>
      <c r="B89" s="24"/>
      <c r="C89" s="24"/>
      <c r="D89" s="24"/>
      <c r="E89" s="24"/>
      <c r="F89" s="24"/>
      <c r="G89" s="24"/>
      <c r="H89" s="24"/>
    </row>
    <row r="90" ht="15.75" customHeight="1">
      <c r="A90" s="24"/>
      <c r="B90" s="24"/>
      <c r="C90" s="24"/>
      <c r="D90" s="24"/>
      <c r="E90" s="24"/>
      <c r="F90" s="24"/>
      <c r="G90" s="24"/>
      <c r="H90" s="24"/>
    </row>
    <row r="91" ht="15.75" customHeight="1">
      <c r="A91" s="24"/>
      <c r="B91" s="24"/>
      <c r="C91" s="24"/>
      <c r="D91" s="24"/>
      <c r="E91" s="24"/>
      <c r="F91" s="24"/>
      <c r="G91" s="24"/>
      <c r="H91" s="24"/>
    </row>
    <row r="92" ht="15.75" customHeight="1">
      <c r="A92" s="24"/>
      <c r="B92" s="24"/>
      <c r="C92" s="24"/>
      <c r="D92" s="24"/>
      <c r="E92" s="24"/>
      <c r="F92" s="24"/>
      <c r="G92" s="24"/>
      <c r="H92" s="24"/>
    </row>
    <row r="93" ht="15.75" customHeight="1">
      <c r="A93" s="24"/>
      <c r="B93" s="24"/>
      <c r="C93" s="24"/>
      <c r="D93" s="24"/>
      <c r="E93" s="24"/>
      <c r="F93" s="24"/>
      <c r="G93" s="24"/>
      <c r="H93" s="24"/>
    </row>
    <row r="94" ht="15.75" customHeight="1">
      <c r="A94" s="24"/>
      <c r="B94" s="24"/>
      <c r="C94" s="24"/>
      <c r="D94" s="24"/>
      <c r="E94" s="24"/>
      <c r="F94" s="24"/>
      <c r="G94" s="24"/>
      <c r="H94" s="24"/>
    </row>
    <row r="95" ht="15.75" customHeight="1">
      <c r="A95" s="24"/>
      <c r="B95" s="24"/>
      <c r="C95" s="24"/>
      <c r="D95" s="24"/>
      <c r="E95" s="24"/>
      <c r="F95" s="24"/>
      <c r="G95" s="24"/>
      <c r="H95" s="24"/>
    </row>
    <row r="96" ht="15.75" customHeight="1">
      <c r="A96" s="24"/>
      <c r="B96" s="24"/>
      <c r="C96" s="24"/>
      <c r="D96" s="24"/>
      <c r="E96" s="24"/>
      <c r="F96" s="24"/>
      <c r="G96" s="24"/>
      <c r="H96" s="24"/>
    </row>
    <row r="97" ht="15.75" customHeight="1">
      <c r="A97" s="24"/>
      <c r="B97" s="24"/>
      <c r="C97" s="24"/>
      <c r="D97" s="24"/>
      <c r="E97" s="24"/>
      <c r="F97" s="24"/>
      <c r="G97" s="24"/>
      <c r="H97" s="24"/>
    </row>
    <row r="98" ht="15.75" customHeight="1">
      <c r="A98" s="24"/>
      <c r="B98" s="24"/>
      <c r="C98" s="24"/>
      <c r="D98" s="24"/>
      <c r="E98" s="24"/>
      <c r="F98" s="24"/>
      <c r="G98" s="24"/>
      <c r="H98" s="24"/>
    </row>
    <row r="99" ht="15.75" customHeight="1">
      <c r="A99" s="24"/>
      <c r="B99" s="24"/>
      <c r="C99" s="24"/>
      <c r="D99" s="24"/>
      <c r="E99" s="24"/>
      <c r="F99" s="24"/>
      <c r="G99" s="24"/>
      <c r="H99" s="24"/>
    </row>
    <row r="100" ht="15.75" customHeight="1">
      <c r="A100" s="24"/>
      <c r="B100" s="24"/>
      <c r="C100" s="24"/>
      <c r="D100" s="24"/>
      <c r="E100" s="24"/>
      <c r="F100" s="24"/>
      <c r="G100" s="24"/>
      <c r="H100" s="24"/>
    </row>
    <row r="101" ht="15.75" customHeight="1">
      <c r="A101" s="24"/>
      <c r="B101" s="24"/>
      <c r="C101" s="24"/>
      <c r="D101" s="24"/>
      <c r="E101" s="24"/>
      <c r="F101" s="24"/>
      <c r="G101" s="24"/>
      <c r="H101" s="24"/>
    </row>
    <row r="102" ht="15.75" customHeight="1">
      <c r="A102" s="24"/>
      <c r="B102" s="24"/>
      <c r="C102" s="24"/>
      <c r="D102" s="24"/>
      <c r="E102" s="24"/>
      <c r="F102" s="24"/>
      <c r="G102" s="24"/>
      <c r="H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</row>
  </sheetData>
  <mergeCells count="7">
    <mergeCell ref="A1:H1"/>
    <mergeCell ref="A2:H2"/>
    <mergeCell ref="B3:D3"/>
    <mergeCell ref="F3:H3"/>
    <mergeCell ref="B4:D4"/>
    <mergeCell ref="F4:H4"/>
    <mergeCell ref="A16:H16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34.0"/>
    <col customWidth="1" min="3" max="3" width="8.0"/>
    <col customWidth="1" min="4" max="6" width="26.0"/>
    <col customWidth="1" min="7" max="7" width="28.0"/>
    <col customWidth="1" min="8" max="8" width="11.0"/>
    <col customWidth="1" min="9" max="26" width="8.71"/>
  </cols>
  <sheetData>
    <row r="1" ht="17.25" customHeight="1">
      <c r="A1" s="1" t="s">
        <v>118</v>
      </c>
    </row>
    <row r="2" ht="15.0" customHeight="1">
      <c r="A2" s="3" t="s">
        <v>119</v>
      </c>
    </row>
    <row r="3" ht="15.0" customHeight="1">
      <c r="A3" s="4" t="s">
        <v>120</v>
      </c>
      <c r="B3" s="34"/>
      <c r="C3" s="35"/>
      <c r="D3" s="36"/>
      <c r="E3" s="4" t="s">
        <v>42</v>
      </c>
      <c r="F3" s="34"/>
      <c r="G3" s="35"/>
      <c r="H3" s="36"/>
    </row>
    <row r="4" ht="15.0" customHeight="1">
      <c r="A4" s="4" t="s">
        <v>43</v>
      </c>
      <c r="B4" s="34"/>
      <c r="C4" s="35"/>
      <c r="D4" s="36"/>
      <c r="E4" s="4" t="s">
        <v>44</v>
      </c>
      <c r="F4" s="34"/>
      <c r="G4" s="35"/>
      <c r="H4" s="36"/>
    </row>
    <row r="5">
      <c r="A5" s="2"/>
      <c r="B5" s="2"/>
      <c r="C5" s="2"/>
      <c r="D5" s="2"/>
      <c r="E5" s="2"/>
      <c r="F5" s="2"/>
      <c r="G5" s="2"/>
      <c r="H5" s="2"/>
    </row>
    <row r="6" ht="26.25" customHeight="1">
      <c r="A6" s="37" t="s">
        <v>121</v>
      </c>
      <c r="B6" s="37" t="s">
        <v>122</v>
      </c>
      <c r="C6" s="37" t="s">
        <v>12</v>
      </c>
      <c r="D6" s="37" t="s">
        <v>47</v>
      </c>
      <c r="E6" s="37" t="s">
        <v>48</v>
      </c>
      <c r="F6" s="37" t="s">
        <v>49</v>
      </c>
      <c r="G6" s="37" t="s">
        <v>50</v>
      </c>
      <c r="H6" s="37" t="s">
        <v>51</v>
      </c>
    </row>
    <row r="7" ht="72.0" customHeight="1">
      <c r="A7" s="38" t="s">
        <v>123</v>
      </c>
      <c r="B7" s="39" t="s">
        <v>124</v>
      </c>
      <c r="C7" s="40">
        <v>0.4</v>
      </c>
      <c r="D7" s="41" t="s">
        <v>125</v>
      </c>
      <c r="E7" s="42" t="s">
        <v>126</v>
      </c>
      <c r="F7" s="42" t="s">
        <v>127</v>
      </c>
      <c r="G7" s="42" t="s">
        <v>128</v>
      </c>
      <c r="H7" s="43"/>
    </row>
    <row r="8" ht="72.0" customHeight="1">
      <c r="A8" s="38" t="s">
        <v>129</v>
      </c>
      <c r="B8" s="44" t="s">
        <v>130</v>
      </c>
      <c r="C8" s="40">
        <v>0.35</v>
      </c>
      <c r="D8" s="42" t="s">
        <v>131</v>
      </c>
      <c r="E8" s="42" t="s">
        <v>132</v>
      </c>
      <c r="F8" s="42" t="s">
        <v>133</v>
      </c>
      <c r="G8" s="42" t="s">
        <v>134</v>
      </c>
      <c r="H8" s="43"/>
    </row>
    <row r="9" ht="72.0" customHeight="1">
      <c r="A9" s="38" t="s">
        <v>135</v>
      </c>
      <c r="B9" s="44" t="s">
        <v>136</v>
      </c>
      <c r="C9" s="40">
        <v>0.25</v>
      </c>
      <c r="D9" s="42" t="s">
        <v>137</v>
      </c>
      <c r="E9" s="42" t="s">
        <v>138</v>
      </c>
      <c r="F9" s="42" t="s">
        <v>139</v>
      </c>
      <c r="G9" s="42" t="s">
        <v>140</v>
      </c>
      <c r="H9" s="43"/>
    </row>
    <row r="10">
      <c r="A10" s="2"/>
      <c r="B10" s="2"/>
      <c r="C10" s="2"/>
      <c r="D10" s="2"/>
      <c r="E10" s="2"/>
      <c r="F10" s="2"/>
      <c r="G10" s="2"/>
      <c r="H10" s="2"/>
    </row>
    <row r="11" ht="15.0" customHeight="1">
      <c r="A11" s="4" t="s">
        <v>141</v>
      </c>
      <c r="B11" s="2"/>
      <c r="C11" s="45">
        <f>ROUND(SUMPRODUCT(C7:C9,H7:H9)/3*10,2)</f>
        <v>0</v>
      </c>
      <c r="D11" s="2"/>
      <c r="E11" s="2"/>
      <c r="F11" s="2"/>
      <c r="G11" s="2"/>
      <c r="H11" s="2"/>
    </row>
    <row r="12" ht="26.25" customHeight="1">
      <c r="A12" s="4" t="s">
        <v>142</v>
      </c>
      <c r="B12" s="2"/>
      <c r="C12" s="45" t="str">
        <f>IF(AND(C11&gt;=3.5,H7&gt;=1),"Supera","No supera")</f>
        <v>No supera</v>
      </c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 ht="30.0" customHeight="1">
      <c r="A14" s="46" t="s">
        <v>143</v>
      </c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 ht="15.75" customHeight="1">
      <c r="A21" s="2"/>
      <c r="B21" s="2"/>
      <c r="C21" s="2"/>
      <c r="D21" s="2"/>
      <c r="E21" s="2"/>
      <c r="F21" s="2"/>
      <c r="G21" s="2"/>
      <c r="H21" s="2"/>
    </row>
    <row r="22" ht="15.75" customHeight="1">
      <c r="A22" s="2"/>
      <c r="B22" s="2"/>
      <c r="C22" s="2"/>
      <c r="D22" s="2"/>
      <c r="E22" s="2"/>
      <c r="F22" s="2"/>
      <c r="G22" s="2"/>
      <c r="H22" s="2"/>
    </row>
    <row r="23" ht="15.75" customHeight="1">
      <c r="A23" s="2"/>
      <c r="B23" s="2"/>
      <c r="C23" s="2"/>
      <c r="D23" s="2"/>
      <c r="E23" s="2"/>
      <c r="F23" s="2"/>
      <c r="G23" s="2"/>
      <c r="H23" s="2"/>
    </row>
    <row r="24" ht="15.75" customHeight="1">
      <c r="A24" s="2"/>
      <c r="B24" s="2"/>
      <c r="C24" s="2"/>
      <c r="D24" s="2"/>
      <c r="E24" s="2"/>
      <c r="F24" s="2"/>
      <c r="G24" s="2"/>
      <c r="H24" s="2"/>
    </row>
    <row r="25" ht="15.75" customHeight="1">
      <c r="A25" s="2"/>
      <c r="B25" s="2"/>
      <c r="C25" s="2"/>
      <c r="D25" s="2"/>
      <c r="E25" s="2"/>
      <c r="F25" s="2"/>
      <c r="G25" s="2"/>
      <c r="H25" s="2"/>
    </row>
    <row r="26" ht="15.75" customHeight="1">
      <c r="A26" s="2"/>
      <c r="B26" s="2"/>
      <c r="C26" s="2"/>
      <c r="D26" s="2"/>
      <c r="E26" s="2"/>
      <c r="F26" s="2"/>
      <c r="G26" s="2"/>
      <c r="H26" s="2"/>
    </row>
    <row r="27" ht="15.75" customHeight="1">
      <c r="A27" s="2"/>
      <c r="B27" s="2"/>
      <c r="C27" s="2"/>
      <c r="D27" s="2"/>
      <c r="E27" s="2"/>
      <c r="F27" s="2"/>
      <c r="G27" s="2"/>
      <c r="H27" s="2"/>
    </row>
    <row r="28" ht="15.75" customHeight="1">
      <c r="A28" s="2"/>
      <c r="B28" s="2"/>
      <c r="C28" s="2"/>
      <c r="D28" s="2"/>
      <c r="E28" s="2"/>
      <c r="F28" s="2"/>
      <c r="G28" s="2"/>
      <c r="H28" s="2"/>
    </row>
    <row r="29" ht="15.75" customHeight="1">
      <c r="A29" s="2"/>
      <c r="B29" s="2"/>
      <c r="C29" s="2"/>
      <c r="D29" s="2"/>
      <c r="E29" s="2"/>
      <c r="F29" s="2"/>
      <c r="G29" s="2"/>
      <c r="H29" s="2"/>
    </row>
    <row r="30" ht="15.75" customHeight="1">
      <c r="A30" s="2"/>
      <c r="B30" s="2"/>
      <c r="C30" s="2"/>
      <c r="D30" s="2"/>
      <c r="E30" s="2"/>
      <c r="F30" s="2"/>
      <c r="G30" s="2"/>
      <c r="H30" s="2"/>
    </row>
    <row r="31" ht="15.75" customHeight="1">
      <c r="A31" s="2"/>
      <c r="B31" s="2"/>
      <c r="C31" s="2"/>
      <c r="D31" s="2"/>
      <c r="E31" s="2"/>
      <c r="F31" s="2"/>
      <c r="G31" s="2"/>
      <c r="H31" s="2"/>
    </row>
    <row r="32" ht="15.75" customHeight="1">
      <c r="A32" s="2"/>
      <c r="B32" s="2"/>
      <c r="C32" s="2"/>
      <c r="D32" s="2"/>
      <c r="E32" s="2"/>
      <c r="F32" s="2"/>
      <c r="G32" s="2"/>
      <c r="H32" s="2"/>
    </row>
    <row r="33" ht="15.75" customHeight="1">
      <c r="A33" s="2"/>
      <c r="B33" s="2"/>
      <c r="C33" s="2"/>
      <c r="D33" s="2"/>
      <c r="E33" s="2"/>
      <c r="F33" s="2"/>
      <c r="G33" s="2"/>
      <c r="H33" s="2"/>
    </row>
    <row r="34" ht="15.75" customHeight="1">
      <c r="A34" s="2"/>
      <c r="B34" s="2"/>
      <c r="C34" s="2"/>
      <c r="D34" s="2"/>
      <c r="E34" s="2"/>
      <c r="F34" s="2"/>
      <c r="G34" s="2"/>
      <c r="H34" s="2"/>
    </row>
    <row r="35" ht="15.75" customHeight="1">
      <c r="A35" s="2"/>
      <c r="B35" s="2"/>
      <c r="C35" s="2"/>
      <c r="D35" s="2"/>
      <c r="E35" s="2"/>
      <c r="F35" s="2"/>
      <c r="G35" s="2"/>
      <c r="H35" s="2"/>
    </row>
    <row r="36" ht="15.75" customHeight="1">
      <c r="A36" s="2"/>
      <c r="B36" s="2"/>
      <c r="C36" s="2"/>
      <c r="D36" s="2"/>
      <c r="E36" s="2"/>
      <c r="F36" s="2"/>
      <c r="G36" s="2"/>
      <c r="H36" s="2"/>
    </row>
    <row r="37" ht="15.75" customHeight="1">
      <c r="A37" s="2"/>
      <c r="B37" s="2"/>
      <c r="C37" s="2"/>
      <c r="D37" s="2"/>
      <c r="E37" s="2"/>
      <c r="F37" s="2"/>
      <c r="G37" s="2"/>
      <c r="H37" s="2"/>
    </row>
    <row r="38" ht="15.75" customHeight="1">
      <c r="A38" s="2"/>
      <c r="B38" s="2"/>
      <c r="C38" s="2"/>
      <c r="D38" s="2"/>
      <c r="E38" s="2"/>
      <c r="F38" s="2"/>
      <c r="G38" s="2"/>
      <c r="H38" s="2"/>
    </row>
    <row r="39" ht="15.75" customHeight="1">
      <c r="A39" s="2"/>
      <c r="B39" s="2"/>
      <c r="C39" s="2"/>
      <c r="D39" s="2"/>
      <c r="E39" s="2"/>
      <c r="F39" s="2"/>
      <c r="G39" s="2"/>
      <c r="H39" s="2"/>
    </row>
    <row r="40" ht="15.75" customHeight="1">
      <c r="A40" s="2"/>
      <c r="B40" s="2"/>
      <c r="C40" s="2"/>
      <c r="D40" s="2"/>
      <c r="E40" s="2"/>
      <c r="F40" s="2"/>
      <c r="G40" s="2"/>
      <c r="H40" s="2"/>
    </row>
    <row r="41" ht="15.75" customHeight="1">
      <c r="A41" s="2"/>
      <c r="B41" s="2"/>
      <c r="C41" s="2"/>
      <c r="D41" s="2"/>
      <c r="E41" s="2"/>
      <c r="F41" s="2"/>
      <c r="G41" s="2"/>
      <c r="H41" s="2"/>
    </row>
    <row r="42" ht="15.75" customHeight="1">
      <c r="A42" s="2"/>
      <c r="B42" s="2"/>
      <c r="C42" s="2"/>
      <c r="D42" s="2"/>
      <c r="E42" s="2"/>
      <c r="F42" s="2"/>
      <c r="G42" s="2"/>
      <c r="H42" s="2"/>
    </row>
    <row r="43" ht="15.75" customHeight="1">
      <c r="A43" s="2"/>
      <c r="B43" s="2"/>
      <c r="C43" s="2"/>
      <c r="D43" s="2"/>
      <c r="E43" s="2"/>
      <c r="F43" s="2"/>
      <c r="G43" s="2"/>
      <c r="H43" s="2"/>
    </row>
    <row r="44" ht="15.75" customHeight="1">
      <c r="A44" s="2"/>
      <c r="B44" s="2"/>
      <c r="C44" s="2"/>
      <c r="D44" s="2"/>
      <c r="E44" s="2"/>
      <c r="F44" s="2"/>
      <c r="G44" s="2"/>
      <c r="H44" s="2"/>
    </row>
    <row r="45" ht="15.75" customHeight="1">
      <c r="A45" s="2"/>
      <c r="B45" s="2"/>
      <c r="C45" s="2"/>
      <c r="D45" s="2"/>
      <c r="E45" s="2"/>
      <c r="F45" s="2"/>
      <c r="G45" s="2"/>
      <c r="H45" s="2"/>
    </row>
    <row r="46" ht="15.75" customHeight="1">
      <c r="A46" s="2"/>
      <c r="B46" s="2"/>
      <c r="C46" s="2"/>
      <c r="D46" s="2"/>
      <c r="E46" s="2"/>
      <c r="F46" s="2"/>
      <c r="G46" s="2"/>
      <c r="H46" s="2"/>
    </row>
    <row r="47" ht="15.75" customHeight="1">
      <c r="A47" s="2"/>
      <c r="B47" s="2"/>
      <c r="C47" s="2"/>
      <c r="D47" s="2"/>
      <c r="E47" s="2"/>
      <c r="F47" s="2"/>
      <c r="G47" s="2"/>
      <c r="H47" s="2"/>
    </row>
    <row r="48" ht="15.75" customHeight="1">
      <c r="A48" s="2"/>
      <c r="B48" s="2"/>
      <c r="C48" s="2"/>
      <c r="D48" s="2"/>
      <c r="E48" s="2"/>
      <c r="F48" s="2"/>
      <c r="G48" s="2"/>
      <c r="H48" s="2"/>
    </row>
    <row r="49" ht="15.75" customHeight="1">
      <c r="A49" s="2"/>
      <c r="B49" s="2"/>
      <c r="C49" s="2"/>
      <c r="D49" s="2"/>
      <c r="E49" s="2"/>
      <c r="F49" s="2"/>
      <c r="G49" s="2"/>
      <c r="H49" s="2"/>
    </row>
    <row r="50" ht="15.75" customHeight="1">
      <c r="A50" s="2"/>
      <c r="B50" s="2"/>
      <c r="C50" s="2"/>
      <c r="D50" s="2"/>
      <c r="E50" s="2"/>
      <c r="F50" s="2"/>
      <c r="G50" s="2"/>
      <c r="H50" s="2"/>
    </row>
    <row r="51" ht="15.75" customHeight="1">
      <c r="A51" s="2"/>
      <c r="B51" s="2"/>
      <c r="C51" s="2"/>
      <c r="D51" s="2"/>
      <c r="E51" s="2"/>
      <c r="F51" s="2"/>
      <c r="G51" s="2"/>
      <c r="H51" s="2"/>
    </row>
    <row r="52" ht="15.75" customHeight="1">
      <c r="A52" s="2"/>
      <c r="B52" s="2"/>
      <c r="C52" s="2"/>
      <c r="D52" s="2"/>
      <c r="E52" s="2"/>
      <c r="F52" s="2"/>
      <c r="G52" s="2"/>
      <c r="H52" s="2"/>
    </row>
    <row r="53" ht="15.75" customHeight="1">
      <c r="A53" s="2"/>
      <c r="B53" s="2"/>
      <c r="C53" s="2"/>
      <c r="D53" s="2"/>
      <c r="E53" s="2"/>
      <c r="F53" s="2"/>
      <c r="G53" s="2"/>
      <c r="H53" s="2"/>
    </row>
    <row r="54" ht="15.75" customHeight="1">
      <c r="A54" s="2"/>
      <c r="B54" s="2"/>
      <c r="C54" s="2"/>
      <c r="D54" s="2"/>
      <c r="E54" s="2"/>
      <c r="F54" s="2"/>
      <c r="G54" s="2"/>
      <c r="H54" s="2"/>
    </row>
    <row r="55" ht="15.75" customHeight="1">
      <c r="A55" s="2"/>
      <c r="B55" s="2"/>
      <c r="C55" s="2"/>
      <c r="D55" s="2"/>
      <c r="E55" s="2"/>
      <c r="F55" s="2"/>
      <c r="G55" s="2"/>
      <c r="H55" s="2"/>
    </row>
    <row r="56" ht="15.75" customHeight="1">
      <c r="A56" s="2"/>
      <c r="B56" s="2"/>
      <c r="C56" s="2"/>
      <c r="D56" s="2"/>
      <c r="E56" s="2"/>
      <c r="F56" s="2"/>
      <c r="G56" s="2"/>
      <c r="H56" s="2"/>
    </row>
    <row r="57" ht="15.75" customHeight="1">
      <c r="A57" s="2"/>
      <c r="B57" s="2"/>
      <c r="C57" s="2"/>
      <c r="D57" s="2"/>
      <c r="E57" s="2"/>
      <c r="F57" s="2"/>
      <c r="G57" s="2"/>
      <c r="H57" s="2"/>
    </row>
    <row r="58" ht="15.75" customHeight="1">
      <c r="A58" s="2"/>
      <c r="B58" s="2"/>
      <c r="C58" s="2"/>
      <c r="D58" s="2"/>
      <c r="E58" s="2"/>
      <c r="F58" s="2"/>
      <c r="G58" s="2"/>
      <c r="H58" s="2"/>
    </row>
    <row r="59" ht="15.75" customHeight="1">
      <c r="A59" s="2"/>
      <c r="B59" s="2"/>
      <c r="C59" s="2"/>
      <c r="D59" s="2"/>
      <c r="E59" s="2"/>
      <c r="F59" s="2"/>
      <c r="G59" s="2"/>
      <c r="H59" s="2"/>
    </row>
    <row r="60" ht="15.75" customHeight="1">
      <c r="A60" s="2"/>
      <c r="B60" s="2"/>
      <c r="C60" s="2"/>
      <c r="D60" s="2"/>
      <c r="E60" s="2"/>
      <c r="F60" s="2"/>
      <c r="G60" s="2"/>
      <c r="H60" s="2"/>
    </row>
    <row r="61" ht="15.75" customHeight="1">
      <c r="A61" s="2"/>
      <c r="B61" s="2"/>
      <c r="C61" s="2"/>
      <c r="D61" s="2"/>
      <c r="E61" s="2"/>
      <c r="F61" s="2"/>
      <c r="G61" s="2"/>
      <c r="H61" s="2"/>
    </row>
    <row r="62" ht="15.75" customHeight="1">
      <c r="A62" s="2"/>
      <c r="B62" s="2"/>
      <c r="C62" s="2"/>
      <c r="D62" s="2"/>
      <c r="E62" s="2"/>
      <c r="F62" s="2"/>
      <c r="G62" s="2"/>
      <c r="H62" s="2"/>
    </row>
    <row r="63" ht="15.75" customHeight="1">
      <c r="A63" s="2"/>
      <c r="B63" s="2"/>
      <c r="C63" s="2"/>
      <c r="D63" s="2"/>
      <c r="E63" s="2"/>
      <c r="F63" s="2"/>
      <c r="G63" s="2"/>
      <c r="H63" s="2"/>
    </row>
    <row r="64" ht="15.75" customHeight="1">
      <c r="A64" s="2"/>
      <c r="B64" s="2"/>
      <c r="C64" s="2"/>
      <c r="D64" s="2"/>
      <c r="E64" s="2"/>
      <c r="F64" s="2"/>
      <c r="G64" s="2"/>
      <c r="H64" s="2"/>
    </row>
    <row r="65" ht="15.75" customHeight="1">
      <c r="A65" s="2"/>
      <c r="B65" s="2"/>
      <c r="C65" s="2"/>
      <c r="D65" s="2"/>
      <c r="E65" s="2"/>
      <c r="F65" s="2"/>
      <c r="G65" s="2"/>
      <c r="H65" s="2"/>
    </row>
    <row r="66" ht="15.75" customHeight="1">
      <c r="A66" s="2"/>
      <c r="B66" s="2"/>
      <c r="C66" s="2"/>
      <c r="D66" s="2"/>
      <c r="E66" s="2"/>
      <c r="F66" s="2"/>
      <c r="G66" s="2"/>
      <c r="H66" s="2"/>
    </row>
    <row r="67" ht="15.75" customHeight="1">
      <c r="A67" s="2"/>
      <c r="B67" s="2"/>
      <c r="C67" s="2"/>
      <c r="D67" s="2"/>
      <c r="E67" s="2"/>
      <c r="F67" s="2"/>
      <c r="G67" s="2"/>
      <c r="H67" s="2"/>
    </row>
    <row r="68" ht="15.75" customHeight="1">
      <c r="A68" s="2"/>
      <c r="B68" s="2"/>
      <c r="C68" s="2"/>
      <c r="D68" s="2"/>
      <c r="E68" s="2"/>
      <c r="F68" s="2"/>
      <c r="G68" s="2"/>
      <c r="H68" s="2"/>
    </row>
    <row r="69" ht="15.75" customHeight="1">
      <c r="A69" s="2"/>
      <c r="B69" s="2"/>
      <c r="C69" s="2"/>
      <c r="D69" s="2"/>
      <c r="E69" s="2"/>
      <c r="F69" s="2"/>
      <c r="G69" s="2"/>
      <c r="H69" s="2"/>
    </row>
    <row r="70" ht="15.75" customHeight="1">
      <c r="A70" s="2"/>
      <c r="B70" s="2"/>
      <c r="C70" s="2"/>
      <c r="D70" s="2"/>
      <c r="E70" s="2"/>
      <c r="F70" s="2"/>
      <c r="G70" s="2"/>
      <c r="H70" s="2"/>
    </row>
    <row r="71" ht="15.75" customHeight="1">
      <c r="A71" s="2"/>
      <c r="B71" s="2"/>
      <c r="C71" s="2"/>
      <c r="D71" s="2"/>
      <c r="E71" s="2"/>
      <c r="F71" s="2"/>
      <c r="G71" s="2"/>
      <c r="H71" s="2"/>
    </row>
    <row r="72" ht="15.75" customHeight="1">
      <c r="A72" s="2"/>
      <c r="B72" s="2"/>
      <c r="C72" s="2"/>
      <c r="D72" s="2"/>
      <c r="E72" s="2"/>
      <c r="F72" s="2"/>
      <c r="G72" s="2"/>
      <c r="H72" s="2"/>
    </row>
    <row r="73" ht="15.75" customHeight="1">
      <c r="A73" s="2"/>
      <c r="B73" s="2"/>
      <c r="C73" s="2"/>
      <c r="D73" s="2"/>
      <c r="E73" s="2"/>
      <c r="F73" s="2"/>
      <c r="G73" s="2"/>
      <c r="H73" s="2"/>
    </row>
    <row r="74" ht="15.75" customHeight="1">
      <c r="A74" s="2"/>
      <c r="B74" s="2"/>
      <c r="C74" s="2"/>
      <c r="D74" s="2"/>
      <c r="E74" s="2"/>
      <c r="F74" s="2"/>
      <c r="G74" s="2"/>
      <c r="H74" s="2"/>
    </row>
    <row r="75" ht="15.75" customHeight="1">
      <c r="A75" s="2"/>
      <c r="B75" s="2"/>
      <c r="C75" s="2"/>
      <c r="D75" s="2"/>
      <c r="E75" s="2"/>
      <c r="F75" s="2"/>
      <c r="G75" s="2"/>
      <c r="H75" s="2"/>
    </row>
    <row r="76" ht="15.75" customHeight="1">
      <c r="A76" s="2"/>
      <c r="B76" s="2"/>
      <c r="C76" s="2"/>
      <c r="D76" s="2"/>
      <c r="E76" s="2"/>
      <c r="F76" s="2"/>
      <c r="G76" s="2"/>
      <c r="H76" s="2"/>
    </row>
    <row r="77" ht="15.75" customHeight="1">
      <c r="A77" s="2"/>
      <c r="B77" s="2"/>
      <c r="C77" s="2"/>
      <c r="D77" s="2"/>
      <c r="E77" s="2"/>
      <c r="F77" s="2"/>
      <c r="G77" s="2"/>
      <c r="H77" s="2"/>
    </row>
    <row r="78" ht="15.75" customHeight="1">
      <c r="A78" s="2"/>
      <c r="B78" s="2"/>
      <c r="C78" s="2"/>
      <c r="D78" s="2"/>
      <c r="E78" s="2"/>
      <c r="F78" s="2"/>
      <c r="G78" s="2"/>
      <c r="H78" s="2"/>
    </row>
    <row r="79" ht="15.75" customHeight="1">
      <c r="A79" s="2"/>
      <c r="B79" s="2"/>
      <c r="C79" s="2"/>
      <c r="D79" s="2"/>
      <c r="E79" s="2"/>
      <c r="F79" s="2"/>
      <c r="G79" s="2"/>
      <c r="H79" s="2"/>
    </row>
    <row r="80" ht="15.75" customHeight="1">
      <c r="A80" s="2"/>
      <c r="B80" s="2"/>
      <c r="C80" s="2"/>
      <c r="D80" s="2"/>
      <c r="E80" s="2"/>
      <c r="F80" s="2"/>
      <c r="G80" s="2"/>
      <c r="H80" s="2"/>
    </row>
    <row r="81" ht="15.75" customHeight="1">
      <c r="A81" s="2"/>
      <c r="B81" s="2"/>
      <c r="C81" s="2"/>
      <c r="D81" s="2"/>
      <c r="E81" s="2"/>
      <c r="F81" s="2"/>
      <c r="G81" s="2"/>
      <c r="H81" s="2"/>
    </row>
    <row r="82" ht="15.75" customHeight="1">
      <c r="A82" s="2"/>
      <c r="B82" s="2"/>
      <c r="C82" s="2"/>
      <c r="D82" s="2"/>
      <c r="E82" s="2"/>
      <c r="F82" s="2"/>
      <c r="G82" s="2"/>
      <c r="H82" s="2"/>
    </row>
    <row r="83" ht="15.75" customHeight="1">
      <c r="A83" s="2"/>
      <c r="B83" s="2"/>
      <c r="C83" s="2"/>
      <c r="D83" s="2"/>
      <c r="E83" s="2"/>
      <c r="F83" s="2"/>
      <c r="G83" s="2"/>
      <c r="H83" s="2"/>
    </row>
    <row r="84" ht="15.75" customHeight="1">
      <c r="A84" s="2"/>
      <c r="B84" s="2"/>
      <c r="C84" s="2"/>
      <c r="D84" s="2"/>
      <c r="E84" s="2"/>
      <c r="F84" s="2"/>
      <c r="G84" s="2"/>
      <c r="H84" s="2"/>
    </row>
    <row r="85" ht="15.75" customHeight="1">
      <c r="A85" s="2"/>
      <c r="B85" s="2"/>
      <c r="C85" s="2"/>
      <c r="D85" s="2"/>
      <c r="E85" s="2"/>
      <c r="F85" s="2"/>
      <c r="G85" s="2"/>
      <c r="H85" s="2"/>
    </row>
    <row r="86" ht="15.75" customHeight="1">
      <c r="A86" s="2"/>
      <c r="B86" s="2"/>
      <c r="C86" s="2"/>
      <c r="D86" s="2"/>
      <c r="E86" s="2"/>
      <c r="F86" s="2"/>
      <c r="G86" s="2"/>
      <c r="H86" s="2"/>
    </row>
    <row r="87" ht="15.75" customHeight="1">
      <c r="A87" s="2"/>
      <c r="B87" s="2"/>
      <c r="C87" s="2"/>
      <c r="D87" s="2"/>
      <c r="E87" s="2"/>
      <c r="F87" s="2"/>
      <c r="G87" s="2"/>
      <c r="H87" s="2"/>
    </row>
    <row r="88" ht="15.75" customHeight="1">
      <c r="A88" s="2"/>
      <c r="B88" s="2"/>
      <c r="C88" s="2"/>
      <c r="D88" s="2"/>
      <c r="E88" s="2"/>
      <c r="F88" s="2"/>
      <c r="G88" s="2"/>
      <c r="H88" s="2"/>
    </row>
    <row r="89" ht="15.75" customHeight="1">
      <c r="A89" s="2"/>
      <c r="B89" s="2"/>
      <c r="C89" s="2"/>
      <c r="D89" s="2"/>
      <c r="E89" s="2"/>
      <c r="F89" s="2"/>
      <c r="G89" s="2"/>
      <c r="H89" s="2"/>
    </row>
    <row r="90" ht="15.75" customHeight="1">
      <c r="A90" s="2"/>
      <c r="B90" s="2"/>
      <c r="C90" s="2"/>
      <c r="D90" s="2"/>
      <c r="E90" s="2"/>
      <c r="F90" s="2"/>
      <c r="G90" s="2"/>
      <c r="H90" s="2"/>
    </row>
    <row r="91" ht="15.75" customHeight="1">
      <c r="A91" s="2"/>
      <c r="B91" s="2"/>
      <c r="C91" s="2"/>
      <c r="D91" s="2"/>
      <c r="E91" s="2"/>
      <c r="F91" s="2"/>
      <c r="G91" s="2"/>
      <c r="H91" s="2"/>
    </row>
    <row r="92" ht="15.75" customHeight="1">
      <c r="A92" s="2"/>
      <c r="B92" s="2"/>
      <c r="C92" s="2"/>
      <c r="D92" s="2"/>
      <c r="E92" s="2"/>
      <c r="F92" s="2"/>
      <c r="G92" s="2"/>
      <c r="H92" s="2"/>
    </row>
    <row r="93" ht="15.75" customHeight="1">
      <c r="A93" s="2"/>
      <c r="B93" s="2"/>
      <c r="C93" s="2"/>
      <c r="D93" s="2"/>
      <c r="E93" s="2"/>
      <c r="F93" s="2"/>
      <c r="G93" s="2"/>
      <c r="H93" s="2"/>
    </row>
    <row r="94" ht="15.75" customHeight="1">
      <c r="A94" s="2"/>
      <c r="B94" s="2"/>
      <c r="C94" s="2"/>
      <c r="D94" s="2"/>
      <c r="E94" s="2"/>
      <c r="F94" s="2"/>
      <c r="G94" s="2"/>
      <c r="H94" s="2"/>
    </row>
    <row r="95" ht="15.75" customHeight="1">
      <c r="A95" s="2"/>
      <c r="B95" s="2"/>
      <c r="C95" s="2"/>
      <c r="D95" s="2"/>
      <c r="E95" s="2"/>
      <c r="F95" s="2"/>
      <c r="G95" s="2"/>
      <c r="H95" s="2"/>
    </row>
    <row r="96" ht="15.75" customHeight="1">
      <c r="A96" s="2"/>
      <c r="B96" s="2"/>
      <c r="C96" s="2"/>
      <c r="D96" s="2"/>
      <c r="E96" s="2"/>
      <c r="F96" s="2"/>
      <c r="G96" s="2"/>
      <c r="H96" s="2"/>
    </row>
    <row r="97" ht="15.75" customHeight="1">
      <c r="A97" s="2"/>
      <c r="B97" s="2"/>
      <c r="C97" s="2"/>
      <c r="D97" s="2"/>
      <c r="E97" s="2"/>
      <c r="F97" s="2"/>
      <c r="G97" s="2"/>
      <c r="H97" s="2"/>
    </row>
    <row r="98" ht="15.75" customHeight="1">
      <c r="A98" s="2"/>
      <c r="B98" s="2"/>
      <c r="C98" s="2"/>
      <c r="D98" s="2"/>
      <c r="E98" s="2"/>
      <c r="F98" s="2"/>
      <c r="G98" s="2"/>
      <c r="H98" s="2"/>
    </row>
    <row r="99" ht="15.75" customHeight="1">
      <c r="A99" s="2"/>
      <c r="B99" s="2"/>
      <c r="C99" s="2"/>
      <c r="D99" s="2"/>
      <c r="E99" s="2"/>
      <c r="F99" s="2"/>
      <c r="G99" s="2"/>
      <c r="H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mergeCells count="7">
    <mergeCell ref="A1:H1"/>
    <mergeCell ref="A2:H2"/>
    <mergeCell ref="B3:D3"/>
    <mergeCell ref="F3:H3"/>
    <mergeCell ref="B4:D4"/>
    <mergeCell ref="F4:H4"/>
    <mergeCell ref="A14:H14"/>
  </mergeCells>
  <dataValidations>
    <dataValidation type="list" allowBlank="1" sqref="H7:H9">
      <formula1>"0,1,2,3"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34.0"/>
    <col customWidth="1" min="3" max="3" width="8.0"/>
    <col customWidth="1" min="4" max="6" width="26.0"/>
    <col customWidth="1" min="7" max="7" width="28.0"/>
    <col customWidth="1" min="8" max="8" width="11.0"/>
    <col customWidth="1" min="9" max="26" width="8.71"/>
  </cols>
  <sheetData>
    <row r="1">
      <c r="A1" s="21" t="s">
        <v>144</v>
      </c>
    </row>
    <row r="2">
      <c r="A2" s="22" t="s">
        <v>145</v>
      </c>
    </row>
    <row r="3">
      <c r="A3" s="23" t="s">
        <v>41</v>
      </c>
      <c r="B3" s="24"/>
      <c r="E3" s="23" t="s">
        <v>42</v>
      </c>
      <c r="F3" s="24"/>
    </row>
    <row r="4">
      <c r="A4" s="23" t="s">
        <v>43</v>
      </c>
      <c r="B4" s="24"/>
      <c r="E4" s="23" t="s">
        <v>44</v>
      </c>
      <c r="F4" s="24"/>
    </row>
    <row r="5">
      <c r="A5" s="24"/>
      <c r="B5" s="24"/>
      <c r="C5" s="24"/>
      <c r="D5" s="24"/>
      <c r="E5" s="24"/>
      <c r="F5" s="24"/>
      <c r="G5" s="24"/>
      <c r="H5" s="24"/>
    </row>
    <row r="6">
      <c r="A6" s="25" t="s">
        <v>45</v>
      </c>
      <c r="B6" s="25" t="s">
        <v>46</v>
      </c>
      <c r="C6" s="25" t="s">
        <v>12</v>
      </c>
      <c r="D6" s="25" t="s">
        <v>47</v>
      </c>
      <c r="E6" s="25" t="s">
        <v>48</v>
      </c>
      <c r="F6" s="25" t="s">
        <v>49</v>
      </c>
      <c r="G6" s="25" t="s">
        <v>50</v>
      </c>
      <c r="H6" s="25" t="s">
        <v>51</v>
      </c>
    </row>
    <row r="7">
      <c r="A7" s="26" t="s">
        <v>146</v>
      </c>
      <c r="B7" s="29" t="s">
        <v>147</v>
      </c>
      <c r="C7" s="28">
        <v>0.35</v>
      </c>
      <c r="D7" s="29" t="s">
        <v>148</v>
      </c>
      <c r="E7" s="29" t="s">
        <v>126</v>
      </c>
      <c r="F7" s="29" t="s">
        <v>149</v>
      </c>
      <c r="G7" s="29" t="s">
        <v>150</v>
      </c>
      <c r="H7" s="28"/>
    </row>
    <row r="8">
      <c r="A8" s="26" t="s">
        <v>151</v>
      </c>
      <c r="B8" s="29" t="s">
        <v>152</v>
      </c>
      <c r="C8" s="28">
        <v>0.25</v>
      </c>
      <c r="D8" s="29" t="s">
        <v>153</v>
      </c>
      <c r="E8" s="29" t="s">
        <v>154</v>
      </c>
      <c r="F8" s="29" t="s">
        <v>155</v>
      </c>
      <c r="G8" s="29" t="s">
        <v>156</v>
      </c>
      <c r="H8" s="28"/>
    </row>
    <row r="9">
      <c r="A9" s="26" t="s">
        <v>157</v>
      </c>
      <c r="B9" s="29" t="s">
        <v>158</v>
      </c>
      <c r="C9" s="28">
        <v>0.2</v>
      </c>
      <c r="D9" s="29" t="s">
        <v>159</v>
      </c>
      <c r="E9" s="29" t="s">
        <v>160</v>
      </c>
      <c r="F9" s="29" t="s">
        <v>161</v>
      </c>
      <c r="G9" s="29" t="s">
        <v>162</v>
      </c>
      <c r="H9" s="28"/>
    </row>
    <row r="10">
      <c r="A10" s="26" t="s">
        <v>163</v>
      </c>
      <c r="B10" s="29" t="s">
        <v>164</v>
      </c>
      <c r="C10" s="28">
        <v>0.2</v>
      </c>
      <c r="D10" s="29" t="s">
        <v>165</v>
      </c>
      <c r="E10" s="29" t="s">
        <v>166</v>
      </c>
      <c r="F10" s="29" t="s">
        <v>167</v>
      </c>
      <c r="G10" s="29" t="s">
        <v>168</v>
      </c>
      <c r="H10" s="28"/>
    </row>
    <row r="11">
      <c r="A11" s="24"/>
      <c r="B11" s="24"/>
      <c r="C11" s="24"/>
      <c r="D11" s="24"/>
      <c r="E11" s="24"/>
      <c r="F11" s="24"/>
      <c r="G11" s="24"/>
      <c r="H11" s="24"/>
    </row>
    <row r="12">
      <c r="A12" s="23" t="s">
        <v>82</v>
      </c>
      <c r="B12" s="24"/>
      <c r="C12" s="31">
        <f>ROUND(SUMPRODUCT(C7:C10,H7:H10)/3*10,2)</f>
        <v>0</v>
      </c>
      <c r="D12" s="24"/>
      <c r="E12" s="24"/>
      <c r="F12" s="24"/>
      <c r="G12" s="24"/>
      <c r="H12" s="24"/>
    </row>
    <row r="13">
      <c r="A13" s="23" t="s">
        <v>83</v>
      </c>
      <c r="B13" s="24"/>
      <c r="C13" s="32" t="str">
        <f>IF(C12&gt;=3.5,"Supera","No supera")</f>
        <v>No supera</v>
      </c>
      <c r="D13" s="24"/>
      <c r="E13" s="24"/>
      <c r="F13" s="24"/>
      <c r="G13" s="24"/>
      <c r="H13" s="24"/>
    </row>
    <row r="14">
      <c r="A14" s="24"/>
      <c r="B14" s="24"/>
      <c r="C14" s="24"/>
      <c r="D14" s="24"/>
      <c r="E14" s="24"/>
      <c r="F14" s="24"/>
      <c r="G14" s="24"/>
      <c r="H14" s="24"/>
    </row>
    <row r="15">
      <c r="A15" s="33" t="s">
        <v>117</v>
      </c>
    </row>
    <row r="16">
      <c r="A16" s="24"/>
      <c r="B16" s="24"/>
      <c r="C16" s="24"/>
      <c r="D16" s="24"/>
      <c r="E16" s="24"/>
      <c r="F16" s="24"/>
      <c r="G16" s="24"/>
      <c r="H16" s="24"/>
    </row>
    <row r="17">
      <c r="A17" s="24"/>
      <c r="B17" s="24"/>
      <c r="C17" s="24"/>
      <c r="D17" s="24"/>
      <c r="E17" s="24"/>
      <c r="F17" s="24"/>
      <c r="G17" s="24"/>
      <c r="H17" s="24"/>
    </row>
    <row r="18">
      <c r="A18" s="24"/>
      <c r="B18" s="24"/>
      <c r="C18" s="24"/>
      <c r="D18" s="24"/>
      <c r="E18" s="24"/>
      <c r="F18" s="24"/>
      <c r="G18" s="24"/>
      <c r="H18" s="24"/>
    </row>
    <row r="19">
      <c r="A19" s="24"/>
      <c r="B19" s="24"/>
      <c r="C19" s="24"/>
      <c r="D19" s="24"/>
      <c r="E19" s="24"/>
      <c r="F19" s="24"/>
      <c r="G19" s="24"/>
      <c r="H19" s="24"/>
    </row>
    <row r="20">
      <c r="A20" s="24"/>
      <c r="B20" s="24"/>
      <c r="C20" s="24"/>
      <c r="D20" s="24"/>
      <c r="E20" s="24"/>
      <c r="F20" s="24"/>
      <c r="G20" s="24"/>
      <c r="H20" s="24"/>
    </row>
    <row r="21" ht="15.75" customHeight="1">
      <c r="A21" s="24"/>
      <c r="B21" s="24"/>
      <c r="C21" s="24"/>
      <c r="D21" s="24"/>
      <c r="E21" s="24"/>
      <c r="F21" s="24"/>
      <c r="G21" s="24"/>
      <c r="H21" s="24"/>
    </row>
    <row r="22" ht="15.75" customHeight="1">
      <c r="A22" s="24"/>
      <c r="B22" s="24"/>
      <c r="C22" s="24"/>
      <c r="D22" s="24"/>
      <c r="E22" s="24"/>
      <c r="F22" s="24"/>
      <c r="G22" s="24"/>
      <c r="H22" s="24"/>
    </row>
    <row r="23" ht="15.75" customHeight="1">
      <c r="A23" s="24"/>
      <c r="B23" s="24"/>
      <c r="C23" s="24"/>
      <c r="D23" s="24"/>
      <c r="E23" s="24"/>
      <c r="F23" s="24"/>
      <c r="G23" s="24"/>
      <c r="H23" s="24"/>
    </row>
    <row r="24" ht="15.75" customHeight="1">
      <c r="A24" s="24"/>
      <c r="B24" s="24"/>
      <c r="C24" s="24"/>
      <c r="D24" s="24"/>
      <c r="E24" s="24"/>
      <c r="F24" s="24"/>
      <c r="G24" s="24"/>
      <c r="H24" s="24"/>
    </row>
    <row r="25" ht="15.75" customHeight="1">
      <c r="A25" s="24"/>
      <c r="B25" s="24"/>
      <c r="C25" s="24"/>
      <c r="D25" s="24"/>
      <c r="E25" s="24"/>
      <c r="F25" s="24"/>
      <c r="G25" s="24"/>
      <c r="H25" s="24"/>
    </row>
    <row r="26" ht="15.75" customHeight="1">
      <c r="A26" s="24"/>
      <c r="B26" s="24"/>
      <c r="C26" s="24"/>
      <c r="D26" s="24"/>
      <c r="E26" s="24"/>
      <c r="F26" s="24"/>
      <c r="G26" s="24"/>
      <c r="H26" s="24"/>
    </row>
    <row r="27" ht="15.75" customHeight="1">
      <c r="A27" s="24"/>
      <c r="B27" s="24"/>
      <c r="C27" s="24"/>
      <c r="D27" s="24"/>
      <c r="E27" s="24"/>
      <c r="F27" s="24"/>
      <c r="G27" s="24"/>
      <c r="H27" s="24"/>
    </row>
    <row r="28" ht="15.75" customHeight="1">
      <c r="A28" s="24"/>
      <c r="B28" s="24"/>
      <c r="C28" s="24"/>
      <c r="D28" s="24"/>
      <c r="E28" s="24"/>
      <c r="F28" s="24"/>
      <c r="G28" s="24"/>
      <c r="H28" s="24"/>
    </row>
    <row r="29" ht="15.75" customHeight="1">
      <c r="A29" s="24"/>
      <c r="B29" s="24"/>
      <c r="C29" s="24"/>
      <c r="D29" s="24"/>
      <c r="E29" s="24"/>
      <c r="F29" s="24"/>
      <c r="G29" s="24"/>
      <c r="H29" s="24"/>
    </row>
    <row r="30" ht="15.75" customHeight="1">
      <c r="A30" s="24"/>
      <c r="B30" s="24"/>
      <c r="C30" s="24"/>
      <c r="D30" s="24"/>
      <c r="E30" s="24"/>
      <c r="F30" s="24"/>
      <c r="G30" s="24"/>
      <c r="H30" s="24"/>
    </row>
    <row r="31" ht="15.75" customHeight="1">
      <c r="A31" s="24"/>
      <c r="B31" s="24"/>
      <c r="C31" s="24"/>
      <c r="D31" s="24"/>
      <c r="E31" s="24"/>
      <c r="F31" s="24"/>
      <c r="G31" s="24"/>
      <c r="H31" s="24"/>
    </row>
    <row r="32" ht="15.75" customHeight="1">
      <c r="A32" s="24"/>
      <c r="B32" s="24"/>
      <c r="C32" s="24"/>
      <c r="D32" s="24"/>
      <c r="E32" s="24"/>
      <c r="F32" s="24"/>
      <c r="G32" s="24"/>
      <c r="H32" s="24"/>
    </row>
    <row r="33" ht="15.75" customHeight="1">
      <c r="A33" s="24"/>
      <c r="B33" s="24"/>
      <c r="C33" s="24"/>
      <c r="D33" s="24"/>
      <c r="E33" s="24"/>
      <c r="F33" s="24"/>
      <c r="G33" s="24"/>
      <c r="H33" s="24"/>
    </row>
    <row r="34" ht="15.75" customHeight="1">
      <c r="A34" s="24"/>
      <c r="B34" s="24"/>
      <c r="C34" s="24"/>
      <c r="D34" s="24"/>
      <c r="E34" s="24"/>
      <c r="F34" s="24"/>
      <c r="G34" s="24"/>
      <c r="H34" s="24"/>
    </row>
    <row r="35" ht="15.75" customHeight="1">
      <c r="A35" s="24"/>
      <c r="B35" s="24"/>
      <c r="C35" s="24"/>
      <c r="D35" s="24"/>
      <c r="E35" s="24"/>
      <c r="F35" s="24"/>
      <c r="G35" s="24"/>
      <c r="H35" s="24"/>
    </row>
    <row r="36" ht="15.75" customHeight="1">
      <c r="A36" s="24"/>
      <c r="B36" s="24"/>
      <c r="C36" s="24"/>
      <c r="D36" s="24"/>
      <c r="E36" s="24"/>
      <c r="F36" s="24"/>
      <c r="G36" s="24"/>
      <c r="H36" s="24"/>
    </row>
    <row r="37" ht="15.75" customHeight="1">
      <c r="A37" s="24"/>
      <c r="B37" s="24"/>
      <c r="C37" s="24"/>
      <c r="D37" s="24"/>
      <c r="E37" s="24"/>
      <c r="F37" s="24"/>
      <c r="G37" s="24"/>
      <c r="H37" s="24"/>
    </row>
    <row r="38" ht="15.75" customHeight="1">
      <c r="A38" s="24"/>
      <c r="B38" s="24"/>
      <c r="C38" s="24"/>
      <c r="D38" s="24"/>
      <c r="E38" s="24"/>
      <c r="F38" s="24"/>
      <c r="G38" s="24"/>
      <c r="H38" s="24"/>
    </row>
    <row r="39" ht="15.75" customHeight="1">
      <c r="A39" s="24"/>
      <c r="B39" s="24"/>
      <c r="C39" s="24"/>
      <c r="D39" s="24"/>
      <c r="E39" s="24"/>
      <c r="F39" s="24"/>
      <c r="G39" s="24"/>
      <c r="H39" s="24"/>
    </row>
    <row r="40" ht="15.75" customHeight="1">
      <c r="A40" s="24"/>
      <c r="B40" s="24"/>
      <c r="C40" s="24"/>
      <c r="D40" s="24"/>
      <c r="E40" s="24"/>
      <c r="F40" s="24"/>
      <c r="G40" s="24"/>
      <c r="H40" s="24"/>
    </row>
    <row r="41" ht="15.75" customHeight="1">
      <c r="A41" s="24"/>
      <c r="B41" s="24"/>
      <c r="C41" s="24"/>
      <c r="D41" s="24"/>
      <c r="E41" s="24"/>
      <c r="F41" s="24"/>
      <c r="G41" s="24"/>
      <c r="H41" s="24"/>
    </row>
    <row r="42" ht="15.75" customHeight="1">
      <c r="A42" s="24"/>
      <c r="B42" s="24"/>
      <c r="C42" s="24"/>
      <c r="D42" s="24"/>
      <c r="E42" s="24"/>
      <c r="F42" s="24"/>
      <c r="G42" s="24"/>
      <c r="H42" s="24"/>
    </row>
    <row r="43" ht="15.75" customHeight="1">
      <c r="A43" s="24"/>
      <c r="B43" s="24"/>
      <c r="C43" s="24"/>
      <c r="D43" s="24"/>
      <c r="E43" s="24"/>
      <c r="F43" s="24"/>
      <c r="G43" s="24"/>
      <c r="H43" s="24"/>
    </row>
    <row r="44" ht="15.75" customHeight="1">
      <c r="A44" s="24"/>
      <c r="B44" s="24"/>
      <c r="C44" s="24"/>
      <c r="D44" s="24"/>
      <c r="E44" s="24"/>
      <c r="F44" s="24"/>
      <c r="G44" s="24"/>
      <c r="H44" s="24"/>
    </row>
    <row r="45" ht="15.75" customHeight="1">
      <c r="A45" s="24"/>
      <c r="B45" s="24"/>
      <c r="C45" s="24"/>
      <c r="D45" s="24"/>
      <c r="E45" s="24"/>
      <c r="F45" s="24"/>
      <c r="G45" s="24"/>
      <c r="H45" s="24"/>
    </row>
    <row r="46" ht="15.75" customHeight="1">
      <c r="A46" s="24"/>
      <c r="B46" s="24"/>
      <c r="C46" s="24"/>
      <c r="D46" s="24"/>
      <c r="E46" s="24"/>
      <c r="F46" s="24"/>
      <c r="G46" s="24"/>
      <c r="H46" s="24"/>
    </row>
    <row r="47" ht="15.75" customHeight="1">
      <c r="A47" s="24"/>
      <c r="B47" s="24"/>
      <c r="C47" s="24"/>
      <c r="D47" s="24"/>
      <c r="E47" s="24"/>
      <c r="F47" s="24"/>
      <c r="G47" s="24"/>
      <c r="H47" s="24"/>
    </row>
    <row r="48" ht="15.75" customHeight="1">
      <c r="A48" s="24"/>
      <c r="B48" s="24"/>
      <c r="C48" s="24"/>
      <c r="D48" s="24"/>
      <c r="E48" s="24"/>
      <c r="F48" s="24"/>
      <c r="G48" s="24"/>
      <c r="H48" s="24"/>
    </row>
    <row r="49" ht="15.75" customHeight="1">
      <c r="A49" s="24"/>
      <c r="B49" s="24"/>
      <c r="C49" s="24"/>
      <c r="D49" s="24"/>
      <c r="E49" s="24"/>
      <c r="F49" s="24"/>
      <c r="G49" s="24"/>
      <c r="H49" s="24"/>
    </row>
    <row r="50" ht="15.75" customHeight="1">
      <c r="A50" s="24"/>
      <c r="B50" s="24"/>
      <c r="C50" s="24"/>
      <c r="D50" s="24"/>
      <c r="E50" s="24"/>
      <c r="F50" s="24"/>
      <c r="G50" s="24"/>
      <c r="H50" s="24"/>
    </row>
    <row r="51" ht="15.75" customHeight="1">
      <c r="A51" s="24"/>
      <c r="B51" s="24"/>
      <c r="C51" s="24"/>
      <c r="D51" s="24"/>
      <c r="E51" s="24"/>
      <c r="F51" s="24"/>
      <c r="G51" s="24"/>
      <c r="H51" s="24"/>
    </row>
    <row r="52" ht="15.75" customHeight="1">
      <c r="A52" s="24"/>
      <c r="B52" s="24"/>
      <c r="C52" s="24"/>
      <c r="D52" s="24"/>
      <c r="E52" s="24"/>
      <c r="F52" s="24"/>
      <c r="G52" s="24"/>
      <c r="H52" s="24"/>
    </row>
    <row r="53" ht="15.75" customHeight="1">
      <c r="A53" s="24"/>
      <c r="B53" s="24"/>
      <c r="C53" s="24"/>
      <c r="D53" s="24"/>
      <c r="E53" s="24"/>
      <c r="F53" s="24"/>
      <c r="G53" s="24"/>
      <c r="H53" s="24"/>
    </row>
    <row r="54" ht="15.75" customHeight="1">
      <c r="A54" s="24"/>
      <c r="B54" s="24"/>
      <c r="C54" s="24"/>
      <c r="D54" s="24"/>
      <c r="E54" s="24"/>
      <c r="F54" s="24"/>
      <c r="G54" s="24"/>
      <c r="H54" s="24"/>
    </row>
    <row r="55" ht="15.75" customHeight="1">
      <c r="A55" s="24"/>
      <c r="B55" s="24"/>
      <c r="C55" s="24"/>
      <c r="D55" s="24"/>
      <c r="E55" s="24"/>
      <c r="F55" s="24"/>
      <c r="G55" s="24"/>
      <c r="H55" s="24"/>
    </row>
    <row r="56" ht="15.75" customHeight="1">
      <c r="A56" s="24"/>
      <c r="B56" s="24"/>
      <c r="C56" s="24"/>
      <c r="D56" s="24"/>
      <c r="E56" s="24"/>
      <c r="F56" s="24"/>
      <c r="G56" s="24"/>
      <c r="H56" s="24"/>
    </row>
    <row r="57" ht="15.75" customHeight="1">
      <c r="A57" s="24"/>
      <c r="B57" s="24"/>
      <c r="C57" s="24"/>
      <c r="D57" s="24"/>
      <c r="E57" s="24"/>
      <c r="F57" s="24"/>
      <c r="G57" s="24"/>
      <c r="H57" s="24"/>
    </row>
    <row r="58" ht="15.75" customHeight="1">
      <c r="A58" s="24"/>
      <c r="B58" s="24"/>
      <c r="C58" s="24"/>
      <c r="D58" s="24"/>
      <c r="E58" s="24"/>
      <c r="F58" s="24"/>
      <c r="G58" s="24"/>
      <c r="H58" s="24"/>
    </row>
    <row r="59" ht="15.75" customHeight="1">
      <c r="A59" s="24"/>
      <c r="B59" s="24"/>
      <c r="C59" s="24"/>
      <c r="D59" s="24"/>
      <c r="E59" s="24"/>
      <c r="F59" s="24"/>
      <c r="G59" s="24"/>
      <c r="H59" s="24"/>
    </row>
    <row r="60" ht="15.75" customHeight="1">
      <c r="A60" s="24"/>
      <c r="B60" s="24"/>
      <c r="C60" s="24"/>
      <c r="D60" s="24"/>
      <c r="E60" s="24"/>
      <c r="F60" s="24"/>
      <c r="G60" s="24"/>
      <c r="H60" s="24"/>
    </row>
    <row r="61" ht="15.75" customHeight="1">
      <c r="A61" s="24"/>
      <c r="B61" s="24"/>
      <c r="C61" s="24"/>
      <c r="D61" s="24"/>
      <c r="E61" s="24"/>
      <c r="F61" s="24"/>
      <c r="G61" s="24"/>
      <c r="H61" s="24"/>
    </row>
    <row r="62" ht="15.75" customHeight="1">
      <c r="A62" s="24"/>
      <c r="B62" s="24"/>
      <c r="C62" s="24"/>
      <c r="D62" s="24"/>
      <c r="E62" s="24"/>
      <c r="F62" s="24"/>
      <c r="G62" s="24"/>
      <c r="H62" s="24"/>
    </row>
    <row r="63" ht="15.75" customHeight="1">
      <c r="A63" s="24"/>
      <c r="B63" s="24"/>
      <c r="C63" s="24"/>
      <c r="D63" s="24"/>
      <c r="E63" s="24"/>
      <c r="F63" s="24"/>
      <c r="G63" s="24"/>
      <c r="H63" s="24"/>
    </row>
    <row r="64" ht="15.75" customHeight="1">
      <c r="A64" s="24"/>
      <c r="B64" s="24"/>
      <c r="C64" s="24"/>
      <c r="D64" s="24"/>
      <c r="E64" s="24"/>
      <c r="F64" s="24"/>
      <c r="G64" s="24"/>
      <c r="H64" s="24"/>
    </row>
    <row r="65" ht="15.75" customHeight="1">
      <c r="A65" s="24"/>
      <c r="B65" s="24"/>
      <c r="C65" s="24"/>
      <c r="D65" s="24"/>
      <c r="E65" s="24"/>
      <c r="F65" s="24"/>
      <c r="G65" s="24"/>
      <c r="H65" s="24"/>
    </row>
    <row r="66" ht="15.75" customHeight="1">
      <c r="A66" s="24"/>
      <c r="B66" s="24"/>
      <c r="C66" s="24"/>
      <c r="D66" s="24"/>
      <c r="E66" s="24"/>
      <c r="F66" s="24"/>
      <c r="G66" s="24"/>
      <c r="H66" s="24"/>
    </row>
    <row r="67" ht="15.75" customHeight="1">
      <c r="A67" s="24"/>
      <c r="B67" s="24"/>
      <c r="C67" s="24"/>
      <c r="D67" s="24"/>
      <c r="E67" s="24"/>
      <c r="F67" s="24"/>
      <c r="G67" s="24"/>
      <c r="H67" s="24"/>
    </row>
    <row r="68" ht="15.75" customHeight="1">
      <c r="A68" s="24"/>
      <c r="B68" s="24"/>
      <c r="C68" s="24"/>
      <c r="D68" s="24"/>
      <c r="E68" s="24"/>
      <c r="F68" s="24"/>
      <c r="G68" s="24"/>
      <c r="H68" s="24"/>
    </row>
    <row r="69" ht="15.75" customHeight="1">
      <c r="A69" s="24"/>
      <c r="B69" s="24"/>
      <c r="C69" s="24"/>
      <c r="D69" s="24"/>
      <c r="E69" s="24"/>
      <c r="F69" s="24"/>
      <c r="G69" s="24"/>
      <c r="H69" s="24"/>
    </row>
    <row r="70" ht="15.75" customHeight="1">
      <c r="A70" s="24"/>
      <c r="B70" s="24"/>
      <c r="C70" s="24"/>
      <c r="D70" s="24"/>
      <c r="E70" s="24"/>
      <c r="F70" s="24"/>
      <c r="G70" s="24"/>
      <c r="H70" s="24"/>
    </row>
    <row r="71" ht="15.75" customHeight="1">
      <c r="A71" s="24"/>
      <c r="B71" s="24"/>
      <c r="C71" s="24"/>
      <c r="D71" s="24"/>
      <c r="E71" s="24"/>
      <c r="F71" s="24"/>
      <c r="G71" s="24"/>
      <c r="H71" s="24"/>
    </row>
    <row r="72" ht="15.75" customHeight="1">
      <c r="A72" s="24"/>
      <c r="B72" s="24"/>
      <c r="C72" s="24"/>
      <c r="D72" s="24"/>
      <c r="E72" s="24"/>
      <c r="F72" s="24"/>
      <c r="G72" s="24"/>
      <c r="H72" s="24"/>
    </row>
    <row r="73" ht="15.75" customHeight="1">
      <c r="A73" s="24"/>
      <c r="B73" s="24"/>
      <c r="C73" s="24"/>
      <c r="D73" s="24"/>
      <c r="E73" s="24"/>
      <c r="F73" s="24"/>
      <c r="G73" s="24"/>
      <c r="H73" s="24"/>
    </row>
    <row r="74" ht="15.75" customHeight="1">
      <c r="A74" s="24"/>
      <c r="B74" s="24"/>
      <c r="C74" s="24"/>
      <c r="D74" s="24"/>
      <c r="E74" s="24"/>
      <c r="F74" s="24"/>
      <c r="G74" s="24"/>
      <c r="H74" s="24"/>
    </row>
    <row r="75" ht="15.75" customHeight="1">
      <c r="A75" s="24"/>
      <c r="B75" s="24"/>
      <c r="C75" s="24"/>
      <c r="D75" s="24"/>
      <c r="E75" s="24"/>
      <c r="F75" s="24"/>
      <c r="G75" s="24"/>
      <c r="H75" s="24"/>
    </row>
    <row r="76" ht="15.75" customHeight="1">
      <c r="A76" s="24"/>
      <c r="B76" s="24"/>
      <c r="C76" s="24"/>
      <c r="D76" s="24"/>
      <c r="E76" s="24"/>
      <c r="F76" s="24"/>
      <c r="G76" s="24"/>
      <c r="H76" s="24"/>
    </row>
    <row r="77" ht="15.75" customHeight="1">
      <c r="A77" s="24"/>
      <c r="B77" s="24"/>
      <c r="C77" s="24"/>
      <c r="D77" s="24"/>
      <c r="E77" s="24"/>
      <c r="F77" s="24"/>
      <c r="G77" s="24"/>
      <c r="H77" s="24"/>
    </row>
    <row r="78" ht="15.75" customHeight="1">
      <c r="A78" s="24"/>
      <c r="B78" s="24"/>
      <c r="C78" s="24"/>
      <c r="D78" s="24"/>
      <c r="E78" s="24"/>
      <c r="F78" s="24"/>
      <c r="G78" s="24"/>
      <c r="H78" s="24"/>
    </row>
    <row r="79" ht="15.75" customHeight="1">
      <c r="A79" s="24"/>
      <c r="B79" s="24"/>
      <c r="C79" s="24"/>
      <c r="D79" s="24"/>
      <c r="E79" s="24"/>
      <c r="F79" s="24"/>
      <c r="G79" s="24"/>
      <c r="H79" s="24"/>
    </row>
    <row r="80" ht="15.75" customHeight="1">
      <c r="A80" s="24"/>
      <c r="B80" s="24"/>
      <c r="C80" s="24"/>
      <c r="D80" s="24"/>
      <c r="E80" s="24"/>
      <c r="F80" s="24"/>
      <c r="G80" s="24"/>
      <c r="H80" s="24"/>
    </row>
    <row r="81" ht="15.75" customHeight="1">
      <c r="A81" s="24"/>
      <c r="B81" s="24"/>
      <c r="C81" s="24"/>
      <c r="D81" s="24"/>
      <c r="E81" s="24"/>
      <c r="F81" s="24"/>
      <c r="G81" s="24"/>
      <c r="H81" s="24"/>
    </row>
    <row r="82" ht="15.75" customHeight="1">
      <c r="A82" s="24"/>
      <c r="B82" s="24"/>
      <c r="C82" s="24"/>
      <c r="D82" s="24"/>
      <c r="E82" s="24"/>
      <c r="F82" s="24"/>
      <c r="G82" s="24"/>
      <c r="H82" s="24"/>
    </row>
    <row r="83" ht="15.75" customHeight="1">
      <c r="A83" s="24"/>
      <c r="B83" s="24"/>
      <c r="C83" s="24"/>
      <c r="D83" s="24"/>
      <c r="E83" s="24"/>
      <c r="F83" s="24"/>
      <c r="G83" s="24"/>
      <c r="H83" s="24"/>
    </row>
    <row r="84" ht="15.75" customHeight="1">
      <c r="A84" s="24"/>
      <c r="B84" s="24"/>
      <c r="C84" s="24"/>
      <c r="D84" s="24"/>
      <c r="E84" s="24"/>
      <c r="F84" s="24"/>
      <c r="G84" s="24"/>
      <c r="H84" s="24"/>
    </row>
    <row r="85" ht="15.75" customHeight="1">
      <c r="A85" s="24"/>
      <c r="B85" s="24"/>
      <c r="C85" s="24"/>
      <c r="D85" s="24"/>
      <c r="E85" s="24"/>
      <c r="F85" s="24"/>
      <c r="G85" s="24"/>
      <c r="H85" s="24"/>
    </row>
    <row r="86" ht="15.75" customHeight="1">
      <c r="A86" s="24"/>
      <c r="B86" s="24"/>
      <c r="C86" s="24"/>
      <c r="D86" s="24"/>
      <c r="E86" s="24"/>
      <c r="F86" s="24"/>
      <c r="G86" s="24"/>
      <c r="H86" s="24"/>
    </row>
    <row r="87" ht="15.75" customHeight="1">
      <c r="A87" s="24"/>
      <c r="B87" s="24"/>
      <c r="C87" s="24"/>
      <c r="D87" s="24"/>
      <c r="E87" s="24"/>
      <c r="F87" s="24"/>
      <c r="G87" s="24"/>
      <c r="H87" s="24"/>
    </row>
    <row r="88" ht="15.75" customHeight="1">
      <c r="A88" s="24"/>
      <c r="B88" s="24"/>
      <c r="C88" s="24"/>
      <c r="D88" s="24"/>
      <c r="E88" s="24"/>
      <c r="F88" s="24"/>
      <c r="G88" s="24"/>
      <c r="H88" s="24"/>
    </row>
    <row r="89" ht="15.75" customHeight="1">
      <c r="A89" s="24"/>
      <c r="B89" s="24"/>
      <c r="C89" s="24"/>
      <c r="D89" s="24"/>
      <c r="E89" s="24"/>
      <c r="F89" s="24"/>
      <c r="G89" s="24"/>
      <c r="H89" s="24"/>
    </row>
    <row r="90" ht="15.75" customHeight="1">
      <c r="A90" s="24"/>
      <c r="B90" s="24"/>
      <c r="C90" s="24"/>
      <c r="D90" s="24"/>
      <c r="E90" s="24"/>
      <c r="F90" s="24"/>
      <c r="G90" s="24"/>
      <c r="H90" s="24"/>
    </row>
    <row r="91" ht="15.75" customHeight="1">
      <c r="A91" s="24"/>
      <c r="B91" s="24"/>
      <c r="C91" s="24"/>
      <c r="D91" s="24"/>
      <c r="E91" s="24"/>
      <c r="F91" s="24"/>
      <c r="G91" s="24"/>
      <c r="H91" s="24"/>
    </row>
    <row r="92" ht="15.75" customHeight="1">
      <c r="A92" s="24"/>
      <c r="B92" s="24"/>
      <c r="C92" s="24"/>
      <c r="D92" s="24"/>
      <c r="E92" s="24"/>
      <c r="F92" s="24"/>
      <c r="G92" s="24"/>
      <c r="H92" s="24"/>
    </row>
    <row r="93" ht="15.75" customHeight="1">
      <c r="A93" s="24"/>
      <c r="B93" s="24"/>
      <c r="C93" s="24"/>
      <c r="D93" s="24"/>
      <c r="E93" s="24"/>
      <c r="F93" s="24"/>
      <c r="G93" s="24"/>
      <c r="H93" s="24"/>
    </row>
    <row r="94" ht="15.75" customHeight="1">
      <c r="A94" s="24"/>
      <c r="B94" s="24"/>
      <c r="C94" s="24"/>
      <c r="D94" s="24"/>
      <c r="E94" s="24"/>
      <c r="F94" s="24"/>
      <c r="G94" s="24"/>
      <c r="H94" s="24"/>
    </row>
    <row r="95" ht="15.75" customHeight="1">
      <c r="A95" s="24"/>
      <c r="B95" s="24"/>
      <c r="C95" s="24"/>
      <c r="D95" s="24"/>
      <c r="E95" s="24"/>
      <c r="F95" s="24"/>
      <c r="G95" s="24"/>
      <c r="H95" s="24"/>
    </row>
    <row r="96" ht="15.75" customHeight="1">
      <c r="A96" s="24"/>
      <c r="B96" s="24"/>
      <c r="C96" s="24"/>
      <c r="D96" s="24"/>
      <c r="E96" s="24"/>
      <c r="F96" s="24"/>
      <c r="G96" s="24"/>
      <c r="H96" s="24"/>
    </row>
    <row r="97" ht="15.75" customHeight="1">
      <c r="A97" s="24"/>
      <c r="B97" s="24"/>
      <c r="C97" s="24"/>
      <c r="D97" s="24"/>
      <c r="E97" s="24"/>
      <c r="F97" s="24"/>
      <c r="G97" s="24"/>
      <c r="H97" s="24"/>
    </row>
    <row r="98" ht="15.75" customHeight="1">
      <c r="A98" s="24"/>
      <c r="B98" s="24"/>
      <c r="C98" s="24"/>
      <c r="D98" s="24"/>
      <c r="E98" s="24"/>
      <c r="F98" s="24"/>
      <c r="G98" s="24"/>
      <c r="H98" s="24"/>
    </row>
    <row r="99" ht="15.75" customHeight="1">
      <c r="A99" s="24"/>
      <c r="B99" s="24"/>
      <c r="C99" s="24"/>
      <c r="D99" s="24"/>
      <c r="E99" s="24"/>
      <c r="F99" s="24"/>
      <c r="G99" s="24"/>
      <c r="H99" s="24"/>
    </row>
    <row r="100" ht="15.75" customHeight="1">
      <c r="A100" s="24"/>
      <c r="B100" s="24"/>
      <c r="C100" s="24"/>
      <c r="D100" s="24"/>
      <c r="E100" s="24"/>
      <c r="F100" s="24"/>
      <c r="G100" s="24"/>
      <c r="H100" s="24"/>
    </row>
    <row r="101" ht="15.75" customHeight="1">
      <c r="A101" s="24"/>
      <c r="B101" s="24"/>
      <c r="C101" s="24"/>
      <c r="D101" s="24"/>
      <c r="E101" s="24"/>
      <c r="F101" s="24"/>
      <c r="G101" s="24"/>
      <c r="H101" s="24"/>
    </row>
    <row r="102" ht="15.75" customHeight="1">
      <c r="A102" s="24"/>
      <c r="B102" s="24"/>
      <c r="C102" s="24"/>
      <c r="D102" s="24"/>
      <c r="E102" s="24"/>
      <c r="F102" s="24"/>
      <c r="G102" s="24"/>
      <c r="H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</row>
  </sheetData>
  <mergeCells count="7">
    <mergeCell ref="A1:H1"/>
    <mergeCell ref="A2:H2"/>
    <mergeCell ref="B3:D3"/>
    <mergeCell ref="F3:H3"/>
    <mergeCell ref="B4:D4"/>
    <mergeCell ref="F4:H4"/>
    <mergeCell ref="A15:H15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34.0"/>
    <col customWidth="1" min="3" max="3" width="8.0"/>
    <col customWidth="1" min="4" max="6" width="26.0"/>
    <col customWidth="1" min="7" max="7" width="28.0"/>
    <col customWidth="1" min="8" max="8" width="11.0"/>
    <col customWidth="1" min="9" max="26" width="8.71"/>
  </cols>
  <sheetData>
    <row r="1">
      <c r="A1" s="21" t="s">
        <v>169</v>
      </c>
    </row>
    <row r="2">
      <c r="A2" s="22" t="s">
        <v>170</v>
      </c>
    </row>
    <row r="3">
      <c r="A3" s="23" t="s">
        <v>41</v>
      </c>
      <c r="B3" s="24"/>
      <c r="E3" s="23" t="s">
        <v>42</v>
      </c>
      <c r="F3" s="24"/>
    </row>
    <row r="4">
      <c r="A4" s="23" t="s">
        <v>43</v>
      </c>
      <c r="B4" s="24"/>
      <c r="E4" s="23" t="s">
        <v>44</v>
      </c>
      <c r="F4" s="24"/>
    </row>
    <row r="5">
      <c r="A5" s="24"/>
      <c r="B5" s="24"/>
      <c r="C5" s="24"/>
      <c r="D5" s="24"/>
      <c r="E5" s="24"/>
      <c r="F5" s="24"/>
      <c r="G5" s="24"/>
      <c r="H5" s="24"/>
    </row>
    <row r="6">
      <c r="A6" s="25" t="s">
        <v>45</v>
      </c>
      <c r="B6" s="25" t="s">
        <v>46</v>
      </c>
      <c r="C6" s="25" t="s">
        <v>12</v>
      </c>
      <c r="D6" s="25" t="s">
        <v>47</v>
      </c>
      <c r="E6" s="25" t="s">
        <v>48</v>
      </c>
      <c r="F6" s="25" t="s">
        <v>49</v>
      </c>
      <c r="G6" s="25" t="s">
        <v>50</v>
      </c>
      <c r="H6" s="25" t="s">
        <v>51</v>
      </c>
    </row>
    <row r="7">
      <c r="A7" s="26" t="s">
        <v>171</v>
      </c>
      <c r="B7" s="29" t="s">
        <v>172</v>
      </c>
      <c r="C7" s="28">
        <v>0.4</v>
      </c>
      <c r="D7" s="29" t="s">
        <v>113</v>
      </c>
      <c r="E7" s="29" t="s">
        <v>114</v>
      </c>
      <c r="F7" s="29" t="s">
        <v>115</v>
      </c>
      <c r="G7" s="29" t="s">
        <v>173</v>
      </c>
      <c r="H7" s="28"/>
    </row>
    <row r="8">
      <c r="A8" s="26" t="s">
        <v>174</v>
      </c>
      <c r="B8" s="29" t="s">
        <v>175</v>
      </c>
      <c r="C8" s="28">
        <v>0.35</v>
      </c>
      <c r="D8" s="29" t="s">
        <v>176</v>
      </c>
      <c r="E8" s="29" t="s">
        <v>177</v>
      </c>
      <c r="F8" s="29" t="s">
        <v>178</v>
      </c>
      <c r="G8" s="29" t="s">
        <v>179</v>
      </c>
      <c r="H8" s="28"/>
    </row>
    <row r="9">
      <c r="A9" s="26" t="s">
        <v>180</v>
      </c>
      <c r="B9" s="29" t="s">
        <v>181</v>
      </c>
      <c r="C9" s="28">
        <v>0.25</v>
      </c>
      <c r="D9" s="29" t="s">
        <v>182</v>
      </c>
      <c r="E9" s="29" t="s">
        <v>183</v>
      </c>
      <c r="F9" s="29" t="s">
        <v>184</v>
      </c>
      <c r="G9" s="29" t="s">
        <v>185</v>
      </c>
      <c r="H9" s="28"/>
    </row>
    <row r="10">
      <c r="A10" s="24"/>
      <c r="B10" s="24"/>
      <c r="C10" s="24"/>
      <c r="D10" s="24"/>
      <c r="E10" s="24"/>
      <c r="F10" s="24"/>
      <c r="G10" s="24"/>
      <c r="H10" s="24"/>
    </row>
    <row r="11">
      <c r="A11" s="23" t="s">
        <v>82</v>
      </c>
      <c r="B11" s="24"/>
      <c r="C11" s="31">
        <f>ROUND(SUMPRODUCT(C7:C9,H7:H9)/3*10,2)</f>
        <v>0</v>
      </c>
      <c r="D11" s="24"/>
      <c r="E11" s="24"/>
      <c r="F11" s="24"/>
      <c r="G11" s="24"/>
      <c r="H11" s="24"/>
    </row>
    <row r="12">
      <c r="A12" s="23" t="s">
        <v>83</v>
      </c>
      <c r="B12" s="24"/>
      <c r="C12" s="32" t="str">
        <f>IF(C11&gt;=3.5,"Supera","No supera")</f>
        <v>No supera</v>
      </c>
      <c r="D12" s="24"/>
      <c r="E12" s="24"/>
      <c r="F12" s="24"/>
      <c r="G12" s="24"/>
      <c r="H12" s="24"/>
    </row>
    <row r="13">
      <c r="A13" s="24"/>
      <c r="B13" s="24"/>
      <c r="C13" s="24"/>
      <c r="D13" s="24"/>
      <c r="E13" s="24"/>
      <c r="F13" s="24"/>
      <c r="G13" s="24"/>
      <c r="H13" s="24"/>
    </row>
    <row r="14">
      <c r="A14" s="33" t="s">
        <v>117</v>
      </c>
    </row>
    <row r="15">
      <c r="A15" s="24"/>
      <c r="B15" s="24"/>
      <c r="C15" s="24"/>
      <c r="D15" s="24"/>
      <c r="E15" s="24"/>
      <c r="F15" s="24"/>
      <c r="G15" s="24"/>
      <c r="H15" s="24"/>
    </row>
    <row r="16">
      <c r="A16" s="24"/>
      <c r="B16" s="24"/>
      <c r="C16" s="24"/>
      <c r="D16" s="24"/>
      <c r="E16" s="24"/>
      <c r="F16" s="24"/>
      <c r="G16" s="24"/>
      <c r="H16" s="24"/>
    </row>
    <row r="17">
      <c r="A17" s="24"/>
      <c r="B17" s="24"/>
      <c r="C17" s="24"/>
      <c r="D17" s="24"/>
      <c r="E17" s="24"/>
      <c r="F17" s="24"/>
      <c r="G17" s="24"/>
      <c r="H17" s="24"/>
    </row>
    <row r="18">
      <c r="A18" s="24"/>
      <c r="B18" s="24"/>
      <c r="C18" s="24"/>
      <c r="D18" s="24"/>
      <c r="E18" s="24"/>
      <c r="F18" s="24"/>
      <c r="G18" s="24"/>
      <c r="H18" s="24"/>
    </row>
    <row r="19">
      <c r="A19" s="24"/>
      <c r="B19" s="24"/>
      <c r="C19" s="24"/>
      <c r="D19" s="24"/>
      <c r="E19" s="24"/>
      <c r="F19" s="24"/>
      <c r="G19" s="24"/>
      <c r="H19" s="24"/>
    </row>
    <row r="20">
      <c r="A20" s="24"/>
      <c r="B20" s="24"/>
      <c r="C20" s="24"/>
      <c r="D20" s="24"/>
      <c r="E20" s="24"/>
      <c r="F20" s="24"/>
      <c r="G20" s="24"/>
      <c r="H20" s="24"/>
    </row>
    <row r="21" ht="15.75" customHeight="1">
      <c r="A21" s="24"/>
      <c r="B21" s="24"/>
      <c r="C21" s="24"/>
      <c r="D21" s="24"/>
      <c r="E21" s="24"/>
      <c r="F21" s="24"/>
      <c r="G21" s="24"/>
      <c r="H21" s="24"/>
    </row>
    <row r="22" ht="15.75" customHeight="1">
      <c r="A22" s="24"/>
      <c r="B22" s="24"/>
      <c r="C22" s="24"/>
      <c r="D22" s="24"/>
      <c r="E22" s="24"/>
      <c r="F22" s="24"/>
      <c r="G22" s="24"/>
      <c r="H22" s="24"/>
    </row>
    <row r="23" ht="15.75" customHeight="1">
      <c r="A23" s="24"/>
      <c r="B23" s="24"/>
      <c r="C23" s="24"/>
      <c r="D23" s="24"/>
      <c r="E23" s="24"/>
      <c r="F23" s="24"/>
      <c r="G23" s="24"/>
      <c r="H23" s="24"/>
    </row>
    <row r="24" ht="15.75" customHeight="1">
      <c r="A24" s="24"/>
      <c r="B24" s="24"/>
      <c r="C24" s="24"/>
      <c r="D24" s="24"/>
      <c r="E24" s="24"/>
      <c r="F24" s="24"/>
      <c r="G24" s="24"/>
      <c r="H24" s="24"/>
    </row>
    <row r="25" ht="15.75" customHeight="1">
      <c r="A25" s="24"/>
      <c r="B25" s="24"/>
      <c r="C25" s="24"/>
      <c r="D25" s="24"/>
      <c r="E25" s="24"/>
      <c r="F25" s="24"/>
      <c r="G25" s="24"/>
      <c r="H25" s="24"/>
    </row>
    <row r="26" ht="15.75" customHeight="1">
      <c r="A26" s="24"/>
      <c r="B26" s="24"/>
      <c r="C26" s="24"/>
      <c r="D26" s="24"/>
      <c r="E26" s="24"/>
      <c r="F26" s="24"/>
      <c r="G26" s="24"/>
      <c r="H26" s="24"/>
    </row>
    <row r="27" ht="15.75" customHeight="1">
      <c r="A27" s="24"/>
      <c r="B27" s="24"/>
      <c r="C27" s="24"/>
      <c r="D27" s="24"/>
      <c r="E27" s="24"/>
      <c r="F27" s="24"/>
      <c r="G27" s="24"/>
      <c r="H27" s="24"/>
    </row>
    <row r="28" ht="15.75" customHeight="1">
      <c r="A28" s="24"/>
      <c r="B28" s="24"/>
      <c r="C28" s="24"/>
      <c r="D28" s="24"/>
      <c r="E28" s="24"/>
      <c r="F28" s="24"/>
      <c r="G28" s="24"/>
      <c r="H28" s="24"/>
    </row>
    <row r="29" ht="15.75" customHeight="1">
      <c r="A29" s="24"/>
      <c r="B29" s="24"/>
      <c r="C29" s="24"/>
      <c r="D29" s="24"/>
      <c r="E29" s="24"/>
      <c r="F29" s="24"/>
      <c r="G29" s="24"/>
      <c r="H29" s="24"/>
    </row>
    <row r="30" ht="15.75" customHeight="1">
      <c r="A30" s="24"/>
      <c r="B30" s="24"/>
      <c r="C30" s="24"/>
      <c r="D30" s="24"/>
      <c r="E30" s="24"/>
      <c r="F30" s="24"/>
      <c r="G30" s="24"/>
      <c r="H30" s="24"/>
    </row>
    <row r="31" ht="15.75" customHeight="1">
      <c r="A31" s="24"/>
      <c r="B31" s="24"/>
      <c r="C31" s="24"/>
      <c r="D31" s="24"/>
      <c r="E31" s="24"/>
      <c r="F31" s="24"/>
      <c r="G31" s="24"/>
      <c r="H31" s="24"/>
    </row>
    <row r="32" ht="15.75" customHeight="1">
      <c r="A32" s="24"/>
      <c r="B32" s="24"/>
      <c r="C32" s="24"/>
      <c r="D32" s="24"/>
      <c r="E32" s="24"/>
      <c r="F32" s="24"/>
      <c r="G32" s="24"/>
      <c r="H32" s="24"/>
    </row>
    <row r="33" ht="15.75" customHeight="1">
      <c r="A33" s="24"/>
      <c r="B33" s="24"/>
      <c r="C33" s="24"/>
      <c r="D33" s="24"/>
      <c r="E33" s="24"/>
      <c r="F33" s="24"/>
      <c r="G33" s="24"/>
      <c r="H33" s="24"/>
    </row>
    <row r="34" ht="15.75" customHeight="1">
      <c r="A34" s="24"/>
      <c r="B34" s="24"/>
      <c r="C34" s="24"/>
      <c r="D34" s="24"/>
      <c r="E34" s="24"/>
      <c r="F34" s="24"/>
      <c r="G34" s="24"/>
      <c r="H34" s="24"/>
    </row>
    <row r="35" ht="15.75" customHeight="1">
      <c r="A35" s="24"/>
      <c r="B35" s="24"/>
      <c r="C35" s="24"/>
      <c r="D35" s="24"/>
      <c r="E35" s="24"/>
      <c r="F35" s="24"/>
      <c r="G35" s="24"/>
      <c r="H35" s="24"/>
    </row>
    <row r="36" ht="15.75" customHeight="1">
      <c r="A36" s="24"/>
      <c r="B36" s="24"/>
      <c r="C36" s="24"/>
      <c r="D36" s="24"/>
      <c r="E36" s="24"/>
      <c r="F36" s="24"/>
      <c r="G36" s="24"/>
      <c r="H36" s="24"/>
    </row>
    <row r="37" ht="15.75" customHeight="1">
      <c r="A37" s="24"/>
      <c r="B37" s="24"/>
      <c r="C37" s="24"/>
      <c r="D37" s="24"/>
      <c r="E37" s="24"/>
      <c r="F37" s="24"/>
      <c r="G37" s="24"/>
      <c r="H37" s="24"/>
    </row>
    <row r="38" ht="15.75" customHeight="1">
      <c r="A38" s="24"/>
      <c r="B38" s="24"/>
      <c r="C38" s="24"/>
      <c r="D38" s="24"/>
      <c r="E38" s="24"/>
      <c r="F38" s="24"/>
      <c r="G38" s="24"/>
      <c r="H38" s="24"/>
    </row>
    <row r="39" ht="15.75" customHeight="1">
      <c r="A39" s="24"/>
      <c r="B39" s="24"/>
      <c r="C39" s="24"/>
      <c r="D39" s="24"/>
      <c r="E39" s="24"/>
      <c r="F39" s="24"/>
      <c r="G39" s="24"/>
      <c r="H39" s="24"/>
    </row>
    <row r="40" ht="15.75" customHeight="1">
      <c r="A40" s="24"/>
      <c r="B40" s="24"/>
      <c r="C40" s="24"/>
      <c r="D40" s="24"/>
      <c r="E40" s="24"/>
      <c r="F40" s="24"/>
      <c r="G40" s="24"/>
      <c r="H40" s="24"/>
    </row>
    <row r="41" ht="15.75" customHeight="1">
      <c r="A41" s="24"/>
      <c r="B41" s="24"/>
      <c r="C41" s="24"/>
      <c r="D41" s="24"/>
      <c r="E41" s="24"/>
      <c r="F41" s="24"/>
      <c r="G41" s="24"/>
      <c r="H41" s="24"/>
    </row>
    <row r="42" ht="15.75" customHeight="1">
      <c r="A42" s="24"/>
      <c r="B42" s="24"/>
      <c r="C42" s="24"/>
      <c r="D42" s="24"/>
      <c r="E42" s="24"/>
      <c r="F42" s="24"/>
      <c r="G42" s="24"/>
      <c r="H42" s="24"/>
    </row>
    <row r="43" ht="15.75" customHeight="1">
      <c r="A43" s="24"/>
      <c r="B43" s="24"/>
      <c r="C43" s="24"/>
      <c r="D43" s="24"/>
      <c r="E43" s="24"/>
      <c r="F43" s="24"/>
      <c r="G43" s="24"/>
      <c r="H43" s="24"/>
    </row>
    <row r="44" ht="15.75" customHeight="1">
      <c r="A44" s="24"/>
      <c r="B44" s="24"/>
      <c r="C44" s="24"/>
      <c r="D44" s="24"/>
      <c r="E44" s="24"/>
      <c r="F44" s="24"/>
      <c r="G44" s="24"/>
      <c r="H44" s="24"/>
    </row>
    <row r="45" ht="15.75" customHeight="1">
      <c r="A45" s="24"/>
      <c r="B45" s="24"/>
      <c r="C45" s="24"/>
      <c r="D45" s="24"/>
      <c r="E45" s="24"/>
      <c r="F45" s="24"/>
      <c r="G45" s="24"/>
      <c r="H45" s="24"/>
    </row>
    <row r="46" ht="15.75" customHeight="1">
      <c r="A46" s="24"/>
      <c r="B46" s="24"/>
      <c r="C46" s="24"/>
      <c r="D46" s="24"/>
      <c r="E46" s="24"/>
      <c r="F46" s="24"/>
      <c r="G46" s="24"/>
      <c r="H46" s="24"/>
    </row>
    <row r="47" ht="15.75" customHeight="1">
      <c r="A47" s="24"/>
      <c r="B47" s="24"/>
      <c r="C47" s="24"/>
      <c r="D47" s="24"/>
      <c r="E47" s="24"/>
      <c r="F47" s="24"/>
      <c r="G47" s="24"/>
      <c r="H47" s="24"/>
    </row>
    <row r="48" ht="15.75" customHeight="1">
      <c r="A48" s="24"/>
      <c r="B48" s="24"/>
      <c r="C48" s="24"/>
      <c r="D48" s="24"/>
      <c r="E48" s="24"/>
      <c r="F48" s="24"/>
      <c r="G48" s="24"/>
      <c r="H48" s="24"/>
    </row>
    <row r="49" ht="15.75" customHeight="1">
      <c r="A49" s="24"/>
      <c r="B49" s="24"/>
      <c r="C49" s="24"/>
      <c r="D49" s="24"/>
      <c r="E49" s="24"/>
      <c r="F49" s="24"/>
      <c r="G49" s="24"/>
      <c r="H49" s="24"/>
    </row>
    <row r="50" ht="15.75" customHeight="1">
      <c r="A50" s="24"/>
      <c r="B50" s="24"/>
      <c r="C50" s="24"/>
      <c r="D50" s="24"/>
      <c r="E50" s="24"/>
      <c r="F50" s="24"/>
      <c r="G50" s="24"/>
      <c r="H50" s="24"/>
    </row>
    <row r="51" ht="15.75" customHeight="1">
      <c r="A51" s="24"/>
      <c r="B51" s="24"/>
      <c r="C51" s="24"/>
      <c r="D51" s="24"/>
      <c r="E51" s="24"/>
      <c r="F51" s="24"/>
      <c r="G51" s="24"/>
      <c r="H51" s="24"/>
    </row>
    <row r="52" ht="15.75" customHeight="1">
      <c r="A52" s="24"/>
      <c r="B52" s="24"/>
      <c r="C52" s="24"/>
      <c r="D52" s="24"/>
      <c r="E52" s="24"/>
      <c r="F52" s="24"/>
      <c r="G52" s="24"/>
      <c r="H52" s="24"/>
    </row>
    <row r="53" ht="15.75" customHeight="1">
      <c r="A53" s="24"/>
      <c r="B53" s="24"/>
      <c r="C53" s="24"/>
      <c r="D53" s="24"/>
      <c r="E53" s="24"/>
      <c r="F53" s="24"/>
      <c r="G53" s="24"/>
      <c r="H53" s="24"/>
    </row>
    <row r="54" ht="15.75" customHeight="1">
      <c r="A54" s="24"/>
      <c r="B54" s="24"/>
      <c r="C54" s="24"/>
      <c r="D54" s="24"/>
      <c r="E54" s="24"/>
      <c r="F54" s="24"/>
      <c r="G54" s="24"/>
      <c r="H54" s="24"/>
    </row>
    <row r="55" ht="15.75" customHeight="1">
      <c r="A55" s="24"/>
      <c r="B55" s="24"/>
      <c r="C55" s="24"/>
      <c r="D55" s="24"/>
      <c r="E55" s="24"/>
      <c r="F55" s="24"/>
      <c r="G55" s="24"/>
      <c r="H55" s="24"/>
    </row>
    <row r="56" ht="15.75" customHeight="1">
      <c r="A56" s="24"/>
      <c r="B56" s="24"/>
      <c r="C56" s="24"/>
      <c r="D56" s="24"/>
      <c r="E56" s="24"/>
      <c r="F56" s="24"/>
      <c r="G56" s="24"/>
      <c r="H56" s="24"/>
    </row>
    <row r="57" ht="15.75" customHeight="1">
      <c r="A57" s="24"/>
      <c r="B57" s="24"/>
      <c r="C57" s="24"/>
      <c r="D57" s="24"/>
      <c r="E57" s="24"/>
      <c r="F57" s="24"/>
      <c r="G57" s="24"/>
      <c r="H57" s="24"/>
    </row>
    <row r="58" ht="15.75" customHeight="1">
      <c r="A58" s="24"/>
      <c r="B58" s="24"/>
      <c r="C58" s="24"/>
      <c r="D58" s="24"/>
      <c r="E58" s="24"/>
      <c r="F58" s="24"/>
      <c r="G58" s="24"/>
      <c r="H58" s="24"/>
    </row>
    <row r="59" ht="15.75" customHeight="1">
      <c r="A59" s="24"/>
      <c r="B59" s="24"/>
      <c r="C59" s="24"/>
      <c r="D59" s="24"/>
      <c r="E59" s="24"/>
      <c r="F59" s="24"/>
      <c r="G59" s="24"/>
      <c r="H59" s="24"/>
    </row>
    <row r="60" ht="15.75" customHeight="1">
      <c r="A60" s="24"/>
      <c r="B60" s="24"/>
      <c r="C60" s="24"/>
      <c r="D60" s="24"/>
      <c r="E60" s="24"/>
      <c r="F60" s="24"/>
      <c r="G60" s="24"/>
      <c r="H60" s="24"/>
    </row>
    <row r="61" ht="15.75" customHeight="1">
      <c r="A61" s="24"/>
      <c r="B61" s="24"/>
      <c r="C61" s="24"/>
      <c r="D61" s="24"/>
      <c r="E61" s="24"/>
      <c r="F61" s="24"/>
      <c r="G61" s="24"/>
      <c r="H61" s="24"/>
    </row>
    <row r="62" ht="15.75" customHeight="1">
      <c r="A62" s="24"/>
      <c r="B62" s="24"/>
      <c r="C62" s="24"/>
      <c r="D62" s="24"/>
      <c r="E62" s="24"/>
      <c r="F62" s="24"/>
      <c r="G62" s="24"/>
      <c r="H62" s="24"/>
    </row>
    <row r="63" ht="15.75" customHeight="1">
      <c r="A63" s="24"/>
      <c r="B63" s="24"/>
      <c r="C63" s="24"/>
      <c r="D63" s="24"/>
      <c r="E63" s="24"/>
      <c r="F63" s="24"/>
      <c r="G63" s="24"/>
      <c r="H63" s="24"/>
    </row>
    <row r="64" ht="15.75" customHeight="1">
      <c r="A64" s="24"/>
      <c r="B64" s="24"/>
      <c r="C64" s="24"/>
      <c r="D64" s="24"/>
      <c r="E64" s="24"/>
      <c r="F64" s="24"/>
      <c r="G64" s="24"/>
      <c r="H64" s="24"/>
    </row>
    <row r="65" ht="15.75" customHeight="1">
      <c r="A65" s="24"/>
      <c r="B65" s="24"/>
      <c r="C65" s="24"/>
      <c r="D65" s="24"/>
      <c r="E65" s="24"/>
      <c r="F65" s="24"/>
      <c r="G65" s="24"/>
      <c r="H65" s="24"/>
    </row>
    <row r="66" ht="15.75" customHeight="1">
      <c r="A66" s="24"/>
      <c r="B66" s="24"/>
      <c r="C66" s="24"/>
      <c r="D66" s="24"/>
      <c r="E66" s="24"/>
      <c r="F66" s="24"/>
      <c r="G66" s="24"/>
      <c r="H66" s="24"/>
    </row>
    <row r="67" ht="15.75" customHeight="1">
      <c r="A67" s="24"/>
      <c r="B67" s="24"/>
      <c r="C67" s="24"/>
      <c r="D67" s="24"/>
      <c r="E67" s="24"/>
      <c r="F67" s="24"/>
      <c r="G67" s="24"/>
      <c r="H67" s="24"/>
    </row>
    <row r="68" ht="15.75" customHeight="1">
      <c r="A68" s="24"/>
      <c r="B68" s="24"/>
      <c r="C68" s="24"/>
      <c r="D68" s="24"/>
      <c r="E68" s="24"/>
      <c r="F68" s="24"/>
      <c r="G68" s="24"/>
      <c r="H68" s="24"/>
    </row>
    <row r="69" ht="15.75" customHeight="1">
      <c r="A69" s="24"/>
      <c r="B69" s="24"/>
      <c r="C69" s="24"/>
      <c r="D69" s="24"/>
      <c r="E69" s="24"/>
      <c r="F69" s="24"/>
      <c r="G69" s="24"/>
      <c r="H69" s="24"/>
    </row>
    <row r="70" ht="15.75" customHeight="1">
      <c r="A70" s="24"/>
      <c r="B70" s="24"/>
      <c r="C70" s="24"/>
      <c r="D70" s="24"/>
      <c r="E70" s="24"/>
      <c r="F70" s="24"/>
      <c r="G70" s="24"/>
      <c r="H70" s="24"/>
    </row>
    <row r="71" ht="15.75" customHeight="1">
      <c r="A71" s="24"/>
      <c r="B71" s="24"/>
      <c r="C71" s="24"/>
      <c r="D71" s="24"/>
      <c r="E71" s="24"/>
      <c r="F71" s="24"/>
      <c r="G71" s="24"/>
      <c r="H71" s="24"/>
    </row>
    <row r="72" ht="15.75" customHeight="1">
      <c r="A72" s="24"/>
      <c r="B72" s="24"/>
      <c r="C72" s="24"/>
      <c r="D72" s="24"/>
      <c r="E72" s="24"/>
      <c r="F72" s="24"/>
      <c r="G72" s="24"/>
      <c r="H72" s="24"/>
    </row>
    <row r="73" ht="15.75" customHeight="1">
      <c r="A73" s="24"/>
      <c r="B73" s="24"/>
      <c r="C73" s="24"/>
      <c r="D73" s="24"/>
      <c r="E73" s="24"/>
      <c r="F73" s="24"/>
      <c r="G73" s="24"/>
      <c r="H73" s="24"/>
    </row>
    <row r="74" ht="15.75" customHeight="1">
      <c r="A74" s="24"/>
      <c r="B74" s="24"/>
      <c r="C74" s="24"/>
      <c r="D74" s="24"/>
      <c r="E74" s="24"/>
      <c r="F74" s="24"/>
      <c r="G74" s="24"/>
      <c r="H74" s="24"/>
    </row>
    <row r="75" ht="15.75" customHeight="1">
      <c r="A75" s="24"/>
      <c r="B75" s="24"/>
      <c r="C75" s="24"/>
      <c r="D75" s="24"/>
      <c r="E75" s="24"/>
      <c r="F75" s="24"/>
      <c r="G75" s="24"/>
      <c r="H75" s="24"/>
    </row>
    <row r="76" ht="15.75" customHeight="1">
      <c r="A76" s="24"/>
      <c r="B76" s="24"/>
      <c r="C76" s="24"/>
      <c r="D76" s="24"/>
      <c r="E76" s="24"/>
      <c r="F76" s="24"/>
      <c r="G76" s="24"/>
      <c r="H76" s="24"/>
    </row>
    <row r="77" ht="15.75" customHeight="1">
      <c r="A77" s="24"/>
      <c r="B77" s="24"/>
      <c r="C77" s="24"/>
      <c r="D77" s="24"/>
      <c r="E77" s="24"/>
      <c r="F77" s="24"/>
      <c r="G77" s="24"/>
      <c r="H77" s="24"/>
    </row>
    <row r="78" ht="15.75" customHeight="1">
      <c r="A78" s="24"/>
      <c r="B78" s="24"/>
      <c r="C78" s="24"/>
      <c r="D78" s="24"/>
      <c r="E78" s="24"/>
      <c r="F78" s="24"/>
      <c r="G78" s="24"/>
      <c r="H78" s="24"/>
    </row>
    <row r="79" ht="15.75" customHeight="1">
      <c r="A79" s="24"/>
      <c r="B79" s="24"/>
      <c r="C79" s="24"/>
      <c r="D79" s="24"/>
      <c r="E79" s="24"/>
      <c r="F79" s="24"/>
      <c r="G79" s="24"/>
      <c r="H79" s="24"/>
    </row>
    <row r="80" ht="15.75" customHeight="1">
      <c r="A80" s="24"/>
      <c r="B80" s="24"/>
      <c r="C80" s="24"/>
      <c r="D80" s="24"/>
      <c r="E80" s="24"/>
      <c r="F80" s="24"/>
      <c r="G80" s="24"/>
      <c r="H80" s="24"/>
    </row>
    <row r="81" ht="15.75" customHeight="1">
      <c r="A81" s="24"/>
      <c r="B81" s="24"/>
      <c r="C81" s="24"/>
      <c r="D81" s="24"/>
      <c r="E81" s="24"/>
      <c r="F81" s="24"/>
      <c r="G81" s="24"/>
      <c r="H81" s="24"/>
    </row>
    <row r="82" ht="15.75" customHeight="1">
      <c r="A82" s="24"/>
      <c r="B82" s="24"/>
      <c r="C82" s="24"/>
      <c r="D82" s="24"/>
      <c r="E82" s="24"/>
      <c r="F82" s="24"/>
      <c r="G82" s="24"/>
      <c r="H82" s="24"/>
    </row>
    <row r="83" ht="15.75" customHeight="1">
      <c r="A83" s="24"/>
      <c r="B83" s="24"/>
      <c r="C83" s="24"/>
      <c r="D83" s="24"/>
      <c r="E83" s="24"/>
      <c r="F83" s="24"/>
      <c r="G83" s="24"/>
      <c r="H83" s="24"/>
    </row>
    <row r="84" ht="15.75" customHeight="1">
      <c r="A84" s="24"/>
      <c r="B84" s="24"/>
      <c r="C84" s="24"/>
      <c r="D84" s="24"/>
      <c r="E84" s="24"/>
      <c r="F84" s="24"/>
      <c r="G84" s="24"/>
      <c r="H84" s="24"/>
    </row>
    <row r="85" ht="15.75" customHeight="1">
      <c r="A85" s="24"/>
      <c r="B85" s="24"/>
      <c r="C85" s="24"/>
      <c r="D85" s="24"/>
      <c r="E85" s="24"/>
      <c r="F85" s="24"/>
      <c r="G85" s="24"/>
      <c r="H85" s="24"/>
    </row>
    <row r="86" ht="15.75" customHeight="1">
      <c r="A86" s="24"/>
      <c r="B86" s="24"/>
      <c r="C86" s="24"/>
      <c r="D86" s="24"/>
      <c r="E86" s="24"/>
      <c r="F86" s="24"/>
      <c r="G86" s="24"/>
      <c r="H86" s="24"/>
    </row>
    <row r="87" ht="15.75" customHeight="1">
      <c r="A87" s="24"/>
      <c r="B87" s="24"/>
      <c r="C87" s="24"/>
      <c r="D87" s="24"/>
      <c r="E87" s="24"/>
      <c r="F87" s="24"/>
      <c r="G87" s="24"/>
      <c r="H87" s="24"/>
    </row>
    <row r="88" ht="15.75" customHeight="1">
      <c r="A88" s="24"/>
      <c r="B88" s="24"/>
      <c r="C88" s="24"/>
      <c r="D88" s="24"/>
      <c r="E88" s="24"/>
      <c r="F88" s="24"/>
      <c r="G88" s="24"/>
      <c r="H88" s="24"/>
    </row>
    <row r="89" ht="15.75" customHeight="1">
      <c r="A89" s="24"/>
      <c r="B89" s="24"/>
      <c r="C89" s="24"/>
      <c r="D89" s="24"/>
      <c r="E89" s="24"/>
      <c r="F89" s="24"/>
      <c r="G89" s="24"/>
      <c r="H89" s="24"/>
    </row>
    <row r="90" ht="15.75" customHeight="1">
      <c r="A90" s="24"/>
      <c r="B90" s="24"/>
      <c r="C90" s="24"/>
      <c r="D90" s="24"/>
      <c r="E90" s="24"/>
      <c r="F90" s="24"/>
      <c r="G90" s="24"/>
      <c r="H90" s="24"/>
    </row>
    <row r="91" ht="15.75" customHeight="1">
      <c r="A91" s="24"/>
      <c r="B91" s="24"/>
      <c r="C91" s="24"/>
      <c r="D91" s="24"/>
      <c r="E91" s="24"/>
      <c r="F91" s="24"/>
      <c r="G91" s="24"/>
      <c r="H91" s="24"/>
    </row>
    <row r="92" ht="15.75" customHeight="1">
      <c r="A92" s="24"/>
      <c r="B92" s="24"/>
      <c r="C92" s="24"/>
      <c r="D92" s="24"/>
      <c r="E92" s="24"/>
      <c r="F92" s="24"/>
      <c r="G92" s="24"/>
      <c r="H92" s="24"/>
    </row>
    <row r="93" ht="15.75" customHeight="1">
      <c r="A93" s="24"/>
      <c r="B93" s="24"/>
      <c r="C93" s="24"/>
      <c r="D93" s="24"/>
      <c r="E93" s="24"/>
      <c r="F93" s="24"/>
      <c r="G93" s="24"/>
      <c r="H93" s="24"/>
    </row>
    <row r="94" ht="15.75" customHeight="1">
      <c r="A94" s="24"/>
      <c r="B94" s="24"/>
      <c r="C94" s="24"/>
      <c r="D94" s="24"/>
      <c r="E94" s="24"/>
      <c r="F94" s="24"/>
      <c r="G94" s="24"/>
      <c r="H94" s="24"/>
    </row>
    <row r="95" ht="15.75" customHeight="1">
      <c r="A95" s="24"/>
      <c r="B95" s="24"/>
      <c r="C95" s="24"/>
      <c r="D95" s="24"/>
      <c r="E95" s="24"/>
      <c r="F95" s="24"/>
      <c r="G95" s="24"/>
      <c r="H95" s="24"/>
    </row>
    <row r="96" ht="15.75" customHeight="1">
      <c r="A96" s="24"/>
      <c r="B96" s="24"/>
      <c r="C96" s="24"/>
      <c r="D96" s="24"/>
      <c r="E96" s="24"/>
      <c r="F96" s="24"/>
      <c r="G96" s="24"/>
      <c r="H96" s="24"/>
    </row>
    <row r="97" ht="15.75" customHeight="1">
      <c r="A97" s="24"/>
      <c r="B97" s="24"/>
      <c r="C97" s="24"/>
      <c r="D97" s="24"/>
      <c r="E97" s="24"/>
      <c r="F97" s="24"/>
      <c r="G97" s="24"/>
      <c r="H97" s="24"/>
    </row>
    <row r="98" ht="15.75" customHeight="1">
      <c r="A98" s="24"/>
      <c r="B98" s="24"/>
      <c r="C98" s="24"/>
      <c r="D98" s="24"/>
      <c r="E98" s="24"/>
      <c r="F98" s="24"/>
      <c r="G98" s="24"/>
      <c r="H98" s="24"/>
    </row>
    <row r="99" ht="15.75" customHeight="1">
      <c r="A99" s="24"/>
      <c r="B99" s="24"/>
      <c r="C99" s="24"/>
      <c r="D99" s="24"/>
      <c r="E99" s="24"/>
      <c r="F99" s="24"/>
      <c r="G99" s="24"/>
      <c r="H99" s="24"/>
    </row>
    <row r="100" ht="15.75" customHeight="1">
      <c r="A100" s="24"/>
      <c r="B100" s="24"/>
      <c r="C100" s="24"/>
      <c r="D100" s="24"/>
      <c r="E100" s="24"/>
      <c r="F100" s="24"/>
      <c r="G100" s="24"/>
      <c r="H100" s="24"/>
    </row>
    <row r="101" ht="15.75" customHeight="1">
      <c r="A101" s="24"/>
      <c r="B101" s="24"/>
      <c r="C101" s="24"/>
      <c r="D101" s="24"/>
      <c r="E101" s="24"/>
      <c r="F101" s="24"/>
      <c r="G101" s="24"/>
      <c r="H101" s="24"/>
    </row>
    <row r="102" ht="15.75" customHeight="1">
      <c r="A102" s="24"/>
      <c r="B102" s="24"/>
      <c r="C102" s="24"/>
      <c r="D102" s="24"/>
      <c r="E102" s="24"/>
      <c r="F102" s="24"/>
      <c r="G102" s="24"/>
      <c r="H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</row>
  </sheetData>
  <mergeCells count="7">
    <mergeCell ref="A1:H1"/>
    <mergeCell ref="A2:H2"/>
    <mergeCell ref="B3:D3"/>
    <mergeCell ref="F3:H3"/>
    <mergeCell ref="B4:D4"/>
    <mergeCell ref="F4:H4"/>
    <mergeCell ref="A14:H14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4" width="16.0"/>
    <col customWidth="1" min="5" max="5" width="18.0"/>
    <col customWidth="1" min="6" max="6" width="14.0"/>
    <col customWidth="1" min="7" max="26" width="8.71"/>
  </cols>
  <sheetData>
    <row r="1">
      <c r="A1" s="21" t="s">
        <v>186</v>
      </c>
      <c r="G1" s="24"/>
      <c r="H1" s="24"/>
    </row>
    <row r="2">
      <c r="A2" s="22" t="s">
        <v>187</v>
      </c>
      <c r="G2" s="24"/>
      <c r="H2" s="24"/>
    </row>
    <row r="3">
      <c r="A3" s="23" t="s">
        <v>188</v>
      </c>
      <c r="B3" s="24"/>
      <c r="E3" s="23" t="s">
        <v>42</v>
      </c>
      <c r="F3" s="24"/>
      <c r="G3" s="24"/>
      <c r="H3" s="24"/>
    </row>
    <row r="4">
      <c r="A4" s="24"/>
      <c r="B4" s="24"/>
      <c r="C4" s="24"/>
      <c r="D4" s="24"/>
      <c r="E4" s="24"/>
      <c r="F4" s="24"/>
      <c r="G4" s="24"/>
      <c r="H4" s="24"/>
    </row>
    <row r="5">
      <c r="A5" s="47" t="s">
        <v>189</v>
      </c>
      <c r="B5" s="47" t="s">
        <v>190</v>
      </c>
      <c r="C5" s="47" t="s">
        <v>191</v>
      </c>
      <c r="D5" s="47" t="s">
        <v>192</v>
      </c>
      <c r="E5" s="47" t="s">
        <v>193</v>
      </c>
      <c r="F5" s="48" t="s">
        <v>194</v>
      </c>
      <c r="G5" s="24"/>
      <c r="H5" s="24"/>
    </row>
    <row r="6">
      <c r="A6" s="26" t="s">
        <v>195</v>
      </c>
      <c r="B6" s="49"/>
      <c r="C6" s="49"/>
      <c r="D6" s="49"/>
      <c r="E6" s="49" t="str">
        <f t="shared" ref="E6:F6" si="1">IF(COUNT(B6:D6)=3,AVERAGE(B6:D6),"")</f>
        <v/>
      </c>
      <c r="F6" s="49" t="str">
        <f t="shared" si="1"/>
        <v/>
      </c>
      <c r="G6" s="24"/>
      <c r="H6" s="24"/>
    </row>
    <row r="7">
      <c r="A7" s="26" t="s">
        <v>196</v>
      </c>
      <c r="B7" s="49"/>
      <c r="C7" s="49"/>
      <c r="D7" s="49"/>
      <c r="E7" s="49" t="str">
        <f t="shared" ref="E7:F7" si="2">IF(COUNT(B7:D7)=3,AVERAGE(B7:D7),"")</f>
        <v/>
      </c>
      <c r="F7" s="49" t="str">
        <f t="shared" si="2"/>
        <v/>
      </c>
      <c r="G7" s="24"/>
      <c r="H7" s="24"/>
    </row>
    <row r="8">
      <c r="A8" s="50" t="s">
        <v>197</v>
      </c>
      <c r="B8" s="51" t="s">
        <v>198</v>
      </c>
      <c r="C8" s="51" t="s">
        <v>198</v>
      </c>
      <c r="D8" s="51" t="s">
        <v>198</v>
      </c>
      <c r="E8" s="51" t="s">
        <v>199</v>
      </c>
      <c r="F8" s="51" t="s">
        <v>200</v>
      </c>
      <c r="G8" s="24"/>
      <c r="H8" s="24"/>
    </row>
    <row r="9">
      <c r="A9" s="24"/>
      <c r="B9" s="24"/>
      <c r="C9" s="24"/>
      <c r="D9" s="24"/>
      <c r="E9" s="24"/>
      <c r="F9" s="24"/>
      <c r="G9" s="24"/>
      <c r="H9" s="24"/>
    </row>
    <row r="10">
      <c r="A10" s="23" t="s">
        <v>201</v>
      </c>
      <c r="B10" s="24"/>
      <c r="C10" s="24"/>
      <c r="D10" s="24"/>
      <c r="E10" s="31" t="str">
        <f>IF(COUNT(E6:E7)&gt;0,MEDIAN(E6:E7),"")</f>
        <v/>
      </c>
      <c r="F10" s="24"/>
      <c r="G10" s="24"/>
      <c r="H10" s="24"/>
    </row>
    <row r="11">
      <c r="A11" s="23" t="s">
        <v>202</v>
      </c>
      <c r="B11" s="24"/>
      <c r="C11" s="24"/>
      <c r="D11" s="24"/>
      <c r="E11" s="31" t="str">
        <f>IF(E10="","",IF(E10&gt;=3,1,IF(E10&gt;=1.5,0.8,0.5)))</f>
        <v/>
      </c>
      <c r="F11" s="24"/>
      <c r="G11" s="24"/>
      <c r="H11" s="24"/>
    </row>
    <row r="12">
      <c r="A12" s="24"/>
      <c r="B12" s="24"/>
      <c r="C12" s="24"/>
      <c r="D12" s="24"/>
      <c r="E12" s="24"/>
      <c r="F12" s="24"/>
      <c r="G12" s="24"/>
      <c r="H12" s="24"/>
    </row>
    <row r="13">
      <c r="A13" s="23" t="s">
        <v>203</v>
      </c>
      <c r="B13" s="24"/>
      <c r="C13" s="24"/>
      <c r="D13" s="24"/>
      <c r="E13" s="24"/>
      <c r="F13" s="24"/>
      <c r="G13" s="24"/>
      <c r="H13" s="24"/>
    </row>
    <row r="14">
      <c r="A14" s="25" t="s">
        <v>204</v>
      </c>
      <c r="B14" s="25" t="s">
        <v>205</v>
      </c>
      <c r="C14" s="25" t="s">
        <v>206</v>
      </c>
      <c r="D14" s="24"/>
      <c r="E14" s="24"/>
      <c r="F14" s="24"/>
      <c r="G14" s="24"/>
      <c r="H14" s="24"/>
    </row>
    <row r="15">
      <c r="A15" s="52" t="s">
        <v>207</v>
      </c>
      <c r="B15" s="52" t="s">
        <v>208</v>
      </c>
      <c r="C15" s="52" t="s">
        <v>209</v>
      </c>
      <c r="D15" s="24"/>
      <c r="E15" s="24"/>
      <c r="F15" s="24"/>
      <c r="G15" s="24"/>
      <c r="H15" s="24"/>
    </row>
    <row r="16">
      <c r="A16" s="52" t="s">
        <v>210</v>
      </c>
      <c r="B16" s="52" t="s">
        <v>211</v>
      </c>
      <c r="C16" s="52" t="s">
        <v>212</v>
      </c>
      <c r="D16" s="24"/>
      <c r="E16" s="24"/>
      <c r="F16" s="24"/>
      <c r="G16" s="24"/>
      <c r="H16" s="24"/>
    </row>
    <row r="17">
      <c r="A17" s="52" t="s">
        <v>213</v>
      </c>
      <c r="B17" s="52" t="s">
        <v>214</v>
      </c>
      <c r="C17" s="52" t="s">
        <v>215</v>
      </c>
      <c r="D17" s="24"/>
      <c r="E17" s="24"/>
      <c r="F17" s="24"/>
      <c r="G17" s="24"/>
      <c r="H17" s="24"/>
    </row>
    <row r="18">
      <c r="A18" s="24"/>
      <c r="B18" s="24"/>
      <c r="C18" s="24"/>
      <c r="D18" s="24"/>
      <c r="E18" s="24"/>
      <c r="F18" s="24"/>
      <c r="G18" s="24"/>
      <c r="H18" s="24"/>
    </row>
    <row r="19">
      <c r="A19" s="33" t="s">
        <v>216</v>
      </c>
      <c r="G19" s="24"/>
      <c r="H19" s="24"/>
    </row>
    <row r="20">
      <c r="A20" s="24"/>
      <c r="B20" s="24"/>
      <c r="C20" s="24"/>
      <c r="D20" s="24"/>
      <c r="E20" s="24"/>
      <c r="F20" s="24"/>
      <c r="G20" s="24"/>
      <c r="H20" s="24"/>
    </row>
    <row r="21">
      <c r="A21" s="24"/>
      <c r="B21" s="24"/>
      <c r="C21" s="24"/>
      <c r="D21" s="24"/>
      <c r="E21" s="24"/>
      <c r="F21" s="24"/>
      <c r="G21" s="24"/>
      <c r="H21" s="24"/>
    </row>
    <row r="22" ht="15.75" customHeight="1">
      <c r="A22" s="24"/>
      <c r="B22" s="24"/>
      <c r="C22" s="24"/>
      <c r="D22" s="24"/>
      <c r="E22" s="24"/>
      <c r="F22" s="24"/>
      <c r="G22" s="24"/>
      <c r="H22" s="24"/>
    </row>
    <row r="23" ht="15.75" customHeight="1">
      <c r="A23" s="24"/>
      <c r="B23" s="24"/>
      <c r="C23" s="24"/>
      <c r="D23" s="24"/>
      <c r="E23" s="24"/>
      <c r="F23" s="24"/>
      <c r="G23" s="24"/>
      <c r="H23" s="24"/>
    </row>
    <row r="24" ht="15.75" customHeight="1">
      <c r="A24" s="24"/>
      <c r="B24" s="24"/>
      <c r="C24" s="24"/>
      <c r="D24" s="24"/>
      <c r="E24" s="24"/>
      <c r="F24" s="24"/>
      <c r="G24" s="24"/>
      <c r="H24" s="24"/>
    </row>
    <row r="25" ht="15.75" customHeight="1">
      <c r="A25" s="24"/>
      <c r="B25" s="24"/>
      <c r="C25" s="24"/>
      <c r="D25" s="24"/>
      <c r="E25" s="24"/>
      <c r="F25" s="24"/>
      <c r="G25" s="24"/>
      <c r="H25" s="24"/>
    </row>
    <row r="26" ht="15.75" customHeight="1">
      <c r="A26" s="24"/>
      <c r="B26" s="24"/>
      <c r="C26" s="24"/>
      <c r="D26" s="24"/>
      <c r="E26" s="24"/>
      <c r="F26" s="24"/>
      <c r="G26" s="24"/>
      <c r="H26" s="24"/>
    </row>
    <row r="27" ht="15.75" customHeight="1">
      <c r="A27" s="24"/>
      <c r="B27" s="24"/>
      <c r="C27" s="24"/>
      <c r="D27" s="24"/>
      <c r="E27" s="24"/>
      <c r="F27" s="24"/>
      <c r="G27" s="24"/>
      <c r="H27" s="24"/>
    </row>
    <row r="28" ht="15.75" customHeight="1">
      <c r="A28" s="24"/>
      <c r="B28" s="24"/>
      <c r="C28" s="24"/>
      <c r="D28" s="24"/>
      <c r="E28" s="24"/>
      <c r="F28" s="24"/>
      <c r="G28" s="24"/>
      <c r="H28" s="24"/>
    </row>
    <row r="29" ht="15.75" customHeight="1">
      <c r="A29" s="24"/>
      <c r="B29" s="24"/>
      <c r="C29" s="24"/>
      <c r="D29" s="24"/>
      <c r="E29" s="24"/>
      <c r="F29" s="24"/>
      <c r="G29" s="24"/>
      <c r="H29" s="24"/>
    </row>
    <row r="30" ht="15.75" customHeight="1">
      <c r="A30" s="24"/>
      <c r="B30" s="24"/>
      <c r="C30" s="24"/>
      <c r="D30" s="24"/>
      <c r="E30" s="24"/>
      <c r="F30" s="24"/>
      <c r="G30" s="24"/>
      <c r="H30" s="24"/>
    </row>
    <row r="31" ht="15.75" customHeight="1">
      <c r="A31" s="24"/>
      <c r="B31" s="24"/>
      <c r="C31" s="24"/>
      <c r="D31" s="24"/>
      <c r="E31" s="24"/>
      <c r="F31" s="24"/>
      <c r="G31" s="24"/>
      <c r="H31" s="24"/>
    </row>
    <row r="32" ht="15.75" customHeight="1">
      <c r="A32" s="24"/>
      <c r="B32" s="24"/>
      <c r="C32" s="24"/>
      <c r="D32" s="24"/>
      <c r="E32" s="24"/>
      <c r="F32" s="24"/>
      <c r="G32" s="24"/>
      <c r="H32" s="24"/>
    </row>
    <row r="33" ht="15.75" customHeight="1">
      <c r="A33" s="24"/>
      <c r="B33" s="24"/>
      <c r="C33" s="24"/>
      <c r="D33" s="24"/>
      <c r="E33" s="24"/>
      <c r="F33" s="24"/>
      <c r="G33" s="24"/>
      <c r="H33" s="24"/>
    </row>
    <row r="34" ht="15.75" customHeight="1">
      <c r="A34" s="24"/>
      <c r="B34" s="24"/>
      <c r="C34" s="24"/>
      <c r="D34" s="24"/>
      <c r="E34" s="24"/>
      <c r="F34" s="24"/>
      <c r="G34" s="24"/>
      <c r="H34" s="24"/>
    </row>
    <row r="35" ht="15.75" customHeight="1">
      <c r="A35" s="24"/>
      <c r="B35" s="24"/>
      <c r="C35" s="24"/>
      <c r="D35" s="24"/>
      <c r="E35" s="24"/>
      <c r="F35" s="24"/>
      <c r="G35" s="24"/>
      <c r="H35" s="24"/>
    </row>
    <row r="36" ht="15.75" customHeight="1">
      <c r="A36" s="24"/>
      <c r="B36" s="24"/>
      <c r="C36" s="24"/>
      <c r="D36" s="24"/>
      <c r="E36" s="24"/>
      <c r="F36" s="24"/>
      <c r="G36" s="24"/>
      <c r="H36" s="24"/>
    </row>
    <row r="37" ht="15.75" customHeight="1">
      <c r="A37" s="24"/>
      <c r="B37" s="24"/>
      <c r="C37" s="24"/>
      <c r="D37" s="24"/>
      <c r="E37" s="24"/>
      <c r="F37" s="24"/>
      <c r="G37" s="24"/>
      <c r="H37" s="24"/>
    </row>
    <row r="38" ht="15.75" customHeight="1">
      <c r="A38" s="24"/>
      <c r="B38" s="24"/>
      <c r="C38" s="24"/>
      <c r="D38" s="24"/>
      <c r="E38" s="24"/>
      <c r="F38" s="24"/>
      <c r="G38" s="24"/>
      <c r="H38" s="24"/>
    </row>
    <row r="39" ht="15.75" customHeight="1">
      <c r="A39" s="24"/>
      <c r="B39" s="24"/>
      <c r="C39" s="24"/>
      <c r="D39" s="24"/>
      <c r="E39" s="24"/>
      <c r="F39" s="24"/>
      <c r="G39" s="24"/>
      <c r="H39" s="24"/>
    </row>
    <row r="40" ht="15.75" customHeight="1">
      <c r="A40" s="24"/>
      <c r="B40" s="24"/>
      <c r="C40" s="24"/>
      <c r="D40" s="24"/>
      <c r="E40" s="24"/>
      <c r="F40" s="24"/>
      <c r="G40" s="24"/>
      <c r="H40" s="24"/>
    </row>
    <row r="41" ht="15.75" customHeight="1">
      <c r="A41" s="24"/>
      <c r="B41" s="24"/>
      <c r="C41" s="24"/>
      <c r="D41" s="24"/>
      <c r="E41" s="24"/>
      <c r="F41" s="24"/>
      <c r="G41" s="24"/>
      <c r="H41" s="24"/>
    </row>
    <row r="42" ht="15.75" customHeight="1">
      <c r="A42" s="24"/>
      <c r="B42" s="24"/>
      <c r="C42" s="24"/>
      <c r="D42" s="24"/>
      <c r="E42" s="24"/>
      <c r="F42" s="24"/>
      <c r="G42" s="24"/>
      <c r="H42" s="24"/>
    </row>
    <row r="43" ht="15.75" customHeight="1">
      <c r="A43" s="24"/>
      <c r="B43" s="24"/>
      <c r="C43" s="24"/>
      <c r="D43" s="24"/>
      <c r="E43" s="24"/>
      <c r="F43" s="24"/>
      <c r="G43" s="24"/>
      <c r="H43" s="24"/>
    </row>
    <row r="44" ht="15.75" customHeight="1">
      <c r="A44" s="24"/>
      <c r="B44" s="24"/>
      <c r="C44" s="24"/>
      <c r="D44" s="24"/>
      <c r="E44" s="24"/>
      <c r="F44" s="24"/>
      <c r="G44" s="24"/>
      <c r="H44" s="24"/>
    </row>
    <row r="45" ht="15.75" customHeight="1">
      <c r="A45" s="24"/>
      <c r="B45" s="24"/>
      <c r="C45" s="24"/>
      <c r="D45" s="24"/>
      <c r="E45" s="24"/>
      <c r="F45" s="24"/>
      <c r="G45" s="24"/>
      <c r="H45" s="24"/>
    </row>
    <row r="46" ht="15.75" customHeight="1">
      <c r="A46" s="24"/>
      <c r="B46" s="24"/>
      <c r="C46" s="24"/>
      <c r="D46" s="24"/>
      <c r="E46" s="24"/>
      <c r="F46" s="24"/>
      <c r="G46" s="24"/>
      <c r="H46" s="24"/>
    </row>
    <row r="47" ht="15.75" customHeight="1">
      <c r="A47" s="24"/>
      <c r="B47" s="24"/>
      <c r="C47" s="24"/>
      <c r="D47" s="24"/>
      <c r="E47" s="24"/>
      <c r="F47" s="24"/>
      <c r="G47" s="24"/>
      <c r="H47" s="24"/>
    </row>
    <row r="48" ht="15.75" customHeight="1">
      <c r="A48" s="24"/>
      <c r="B48" s="24"/>
      <c r="C48" s="24"/>
      <c r="D48" s="24"/>
      <c r="E48" s="24"/>
      <c r="F48" s="24"/>
      <c r="G48" s="24"/>
      <c r="H48" s="24"/>
    </row>
    <row r="49" ht="15.75" customHeight="1">
      <c r="A49" s="24"/>
      <c r="B49" s="24"/>
      <c r="C49" s="24"/>
      <c r="D49" s="24"/>
      <c r="E49" s="24"/>
      <c r="F49" s="24"/>
      <c r="G49" s="24"/>
      <c r="H49" s="24"/>
    </row>
    <row r="50" ht="15.75" customHeight="1">
      <c r="A50" s="24"/>
      <c r="B50" s="24"/>
      <c r="C50" s="24"/>
      <c r="D50" s="24"/>
      <c r="E50" s="24"/>
      <c r="F50" s="24"/>
      <c r="G50" s="24"/>
      <c r="H50" s="24"/>
    </row>
    <row r="51" ht="15.75" customHeight="1">
      <c r="A51" s="24"/>
      <c r="B51" s="24"/>
      <c r="C51" s="24"/>
      <c r="D51" s="24"/>
      <c r="E51" s="24"/>
      <c r="F51" s="24"/>
      <c r="G51" s="24"/>
      <c r="H51" s="24"/>
    </row>
    <row r="52" ht="15.75" customHeight="1">
      <c r="A52" s="24"/>
      <c r="B52" s="24"/>
      <c r="C52" s="24"/>
      <c r="D52" s="24"/>
      <c r="E52" s="24"/>
      <c r="F52" s="24"/>
      <c r="G52" s="24"/>
      <c r="H52" s="24"/>
    </row>
    <row r="53" ht="15.75" customHeight="1">
      <c r="A53" s="24"/>
      <c r="B53" s="24"/>
      <c r="C53" s="24"/>
      <c r="D53" s="24"/>
      <c r="E53" s="24"/>
      <c r="F53" s="24"/>
      <c r="G53" s="24"/>
      <c r="H53" s="24"/>
    </row>
    <row r="54" ht="15.75" customHeight="1">
      <c r="A54" s="24"/>
      <c r="B54" s="24"/>
      <c r="C54" s="24"/>
      <c r="D54" s="24"/>
      <c r="E54" s="24"/>
      <c r="F54" s="24"/>
      <c r="G54" s="24"/>
      <c r="H54" s="24"/>
    </row>
    <row r="55" ht="15.75" customHeight="1">
      <c r="A55" s="24"/>
      <c r="B55" s="24"/>
      <c r="C55" s="24"/>
      <c r="D55" s="24"/>
      <c r="E55" s="24"/>
      <c r="F55" s="24"/>
      <c r="G55" s="24"/>
      <c r="H55" s="24"/>
    </row>
    <row r="56" ht="15.75" customHeight="1">
      <c r="A56" s="24"/>
      <c r="B56" s="24"/>
      <c r="C56" s="24"/>
      <c r="D56" s="24"/>
      <c r="E56" s="24"/>
      <c r="F56" s="24"/>
      <c r="G56" s="24"/>
      <c r="H56" s="24"/>
    </row>
    <row r="57" ht="15.75" customHeight="1">
      <c r="A57" s="24"/>
      <c r="B57" s="24"/>
      <c r="C57" s="24"/>
      <c r="D57" s="24"/>
      <c r="E57" s="24"/>
      <c r="F57" s="24"/>
      <c r="G57" s="24"/>
      <c r="H57" s="24"/>
    </row>
    <row r="58" ht="15.75" customHeight="1">
      <c r="A58" s="24"/>
      <c r="B58" s="24"/>
      <c r="C58" s="24"/>
      <c r="D58" s="24"/>
      <c r="E58" s="24"/>
      <c r="F58" s="24"/>
      <c r="G58" s="24"/>
      <c r="H58" s="24"/>
    </row>
    <row r="59" ht="15.75" customHeight="1">
      <c r="A59" s="24"/>
      <c r="B59" s="24"/>
      <c r="C59" s="24"/>
      <c r="D59" s="24"/>
      <c r="E59" s="24"/>
      <c r="F59" s="24"/>
      <c r="G59" s="24"/>
      <c r="H59" s="24"/>
    </row>
    <row r="60" ht="15.75" customHeight="1">
      <c r="A60" s="24"/>
      <c r="B60" s="24"/>
      <c r="C60" s="24"/>
      <c r="D60" s="24"/>
      <c r="E60" s="24"/>
      <c r="F60" s="24"/>
      <c r="G60" s="24"/>
      <c r="H60" s="24"/>
    </row>
    <row r="61" ht="15.75" customHeight="1">
      <c r="A61" s="24"/>
      <c r="B61" s="24"/>
      <c r="C61" s="24"/>
      <c r="D61" s="24"/>
      <c r="E61" s="24"/>
      <c r="F61" s="24"/>
      <c r="G61" s="24"/>
      <c r="H61" s="24"/>
    </row>
    <row r="62" ht="15.75" customHeight="1">
      <c r="A62" s="24"/>
      <c r="B62" s="24"/>
      <c r="C62" s="24"/>
      <c r="D62" s="24"/>
      <c r="E62" s="24"/>
      <c r="F62" s="24"/>
      <c r="G62" s="24"/>
      <c r="H62" s="24"/>
    </row>
    <row r="63" ht="15.75" customHeight="1">
      <c r="A63" s="24"/>
      <c r="B63" s="24"/>
      <c r="C63" s="24"/>
      <c r="D63" s="24"/>
      <c r="E63" s="24"/>
      <c r="F63" s="24"/>
      <c r="G63" s="24"/>
      <c r="H63" s="24"/>
    </row>
    <row r="64" ht="15.75" customHeight="1">
      <c r="A64" s="24"/>
      <c r="B64" s="24"/>
      <c r="C64" s="24"/>
      <c r="D64" s="24"/>
      <c r="E64" s="24"/>
      <c r="F64" s="24"/>
      <c r="G64" s="24"/>
      <c r="H64" s="24"/>
    </row>
    <row r="65" ht="15.75" customHeight="1">
      <c r="A65" s="24"/>
      <c r="B65" s="24"/>
      <c r="C65" s="24"/>
      <c r="D65" s="24"/>
      <c r="E65" s="24"/>
      <c r="F65" s="24"/>
      <c r="G65" s="24"/>
      <c r="H65" s="24"/>
    </row>
    <row r="66" ht="15.75" customHeight="1">
      <c r="A66" s="24"/>
      <c r="B66" s="24"/>
      <c r="C66" s="24"/>
      <c r="D66" s="24"/>
      <c r="E66" s="24"/>
      <c r="F66" s="24"/>
      <c r="G66" s="24"/>
      <c r="H66" s="24"/>
    </row>
    <row r="67" ht="15.75" customHeight="1">
      <c r="A67" s="24"/>
      <c r="B67" s="24"/>
      <c r="C67" s="24"/>
      <c r="D67" s="24"/>
      <c r="E67" s="24"/>
      <c r="F67" s="24"/>
      <c r="G67" s="24"/>
      <c r="H67" s="24"/>
    </row>
    <row r="68" ht="15.75" customHeight="1">
      <c r="A68" s="24"/>
      <c r="B68" s="24"/>
      <c r="C68" s="24"/>
      <c r="D68" s="24"/>
      <c r="E68" s="24"/>
      <c r="F68" s="24"/>
      <c r="G68" s="24"/>
      <c r="H68" s="24"/>
    </row>
    <row r="69" ht="15.75" customHeight="1">
      <c r="A69" s="24"/>
      <c r="B69" s="24"/>
      <c r="C69" s="24"/>
      <c r="D69" s="24"/>
      <c r="E69" s="24"/>
      <c r="F69" s="24"/>
      <c r="G69" s="24"/>
      <c r="H69" s="24"/>
    </row>
    <row r="70" ht="15.75" customHeight="1">
      <c r="A70" s="24"/>
      <c r="B70" s="24"/>
      <c r="C70" s="24"/>
      <c r="D70" s="24"/>
      <c r="E70" s="24"/>
      <c r="F70" s="24"/>
      <c r="G70" s="24"/>
      <c r="H70" s="24"/>
    </row>
    <row r="71" ht="15.75" customHeight="1">
      <c r="A71" s="24"/>
      <c r="B71" s="24"/>
      <c r="C71" s="24"/>
      <c r="D71" s="24"/>
      <c r="E71" s="24"/>
      <c r="F71" s="24"/>
      <c r="G71" s="24"/>
      <c r="H71" s="24"/>
    </row>
    <row r="72" ht="15.75" customHeight="1">
      <c r="A72" s="24"/>
      <c r="B72" s="24"/>
      <c r="C72" s="24"/>
      <c r="D72" s="24"/>
      <c r="E72" s="24"/>
      <c r="F72" s="24"/>
      <c r="G72" s="24"/>
      <c r="H72" s="24"/>
    </row>
    <row r="73" ht="15.75" customHeight="1">
      <c r="A73" s="24"/>
      <c r="B73" s="24"/>
      <c r="C73" s="24"/>
      <c r="D73" s="24"/>
      <c r="E73" s="24"/>
      <c r="F73" s="24"/>
      <c r="G73" s="24"/>
      <c r="H73" s="24"/>
    </row>
    <row r="74" ht="15.75" customHeight="1">
      <c r="A74" s="24"/>
      <c r="B74" s="24"/>
      <c r="C74" s="24"/>
      <c r="D74" s="24"/>
      <c r="E74" s="24"/>
      <c r="F74" s="24"/>
      <c r="G74" s="24"/>
      <c r="H74" s="24"/>
    </row>
    <row r="75" ht="15.75" customHeight="1">
      <c r="A75" s="24"/>
      <c r="B75" s="24"/>
      <c r="C75" s="24"/>
      <c r="D75" s="24"/>
      <c r="E75" s="24"/>
      <c r="F75" s="24"/>
      <c r="G75" s="24"/>
      <c r="H75" s="24"/>
    </row>
    <row r="76" ht="15.75" customHeight="1">
      <c r="A76" s="24"/>
      <c r="B76" s="24"/>
      <c r="C76" s="24"/>
      <c r="D76" s="24"/>
      <c r="E76" s="24"/>
      <c r="F76" s="24"/>
      <c r="G76" s="24"/>
      <c r="H76" s="24"/>
    </row>
    <row r="77" ht="15.75" customHeight="1">
      <c r="A77" s="24"/>
      <c r="B77" s="24"/>
      <c r="C77" s="24"/>
      <c r="D77" s="24"/>
      <c r="E77" s="24"/>
      <c r="F77" s="24"/>
      <c r="G77" s="24"/>
      <c r="H77" s="24"/>
    </row>
    <row r="78" ht="15.75" customHeight="1">
      <c r="A78" s="24"/>
      <c r="B78" s="24"/>
      <c r="C78" s="24"/>
      <c r="D78" s="24"/>
      <c r="E78" s="24"/>
      <c r="F78" s="24"/>
      <c r="G78" s="24"/>
      <c r="H78" s="24"/>
    </row>
    <row r="79" ht="15.75" customHeight="1">
      <c r="A79" s="24"/>
      <c r="B79" s="24"/>
      <c r="C79" s="24"/>
      <c r="D79" s="24"/>
      <c r="E79" s="24"/>
      <c r="F79" s="24"/>
      <c r="G79" s="24"/>
      <c r="H79" s="24"/>
    </row>
    <row r="80" ht="15.75" customHeight="1">
      <c r="A80" s="24"/>
      <c r="B80" s="24"/>
      <c r="C80" s="24"/>
      <c r="D80" s="24"/>
      <c r="E80" s="24"/>
      <c r="F80" s="24"/>
      <c r="G80" s="24"/>
      <c r="H80" s="24"/>
    </row>
    <row r="81" ht="15.75" customHeight="1">
      <c r="A81" s="24"/>
      <c r="B81" s="24"/>
      <c r="C81" s="24"/>
      <c r="D81" s="24"/>
      <c r="E81" s="24"/>
      <c r="F81" s="24"/>
      <c r="G81" s="24"/>
      <c r="H81" s="24"/>
    </row>
    <row r="82" ht="15.75" customHeight="1">
      <c r="A82" s="24"/>
      <c r="B82" s="24"/>
      <c r="C82" s="24"/>
      <c r="D82" s="24"/>
      <c r="E82" s="24"/>
      <c r="F82" s="24"/>
      <c r="G82" s="24"/>
      <c r="H82" s="24"/>
    </row>
    <row r="83" ht="15.75" customHeight="1">
      <c r="A83" s="24"/>
      <c r="B83" s="24"/>
      <c r="C83" s="24"/>
      <c r="D83" s="24"/>
      <c r="E83" s="24"/>
      <c r="F83" s="24"/>
      <c r="G83" s="24"/>
      <c r="H83" s="24"/>
    </row>
    <row r="84" ht="15.75" customHeight="1">
      <c r="A84" s="24"/>
      <c r="B84" s="24"/>
      <c r="C84" s="24"/>
      <c r="D84" s="24"/>
      <c r="E84" s="24"/>
      <c r="F84" s="24"/>
      <c r="G84" s="24"/>
      <c r="H84" s="24"/>
    </row>
    <row r="85" ht="15.75" customHeight="1">
      <c r="A85" s="24"/>
      <c r="B85" s="24"/>
      <c r="C85" s="24"/>
      <c r="D85" s="24"/>
      <c r="E85" s="24"/>
      <c r="F85" s="24"/>
      <c r="G85" s="24"/>
      <c r="H85" s="24"/>
    </row>
    <row r="86" ht="15.75" customHeight="1">
      <c r="A86" s="24"/>
      <c r="B86" s="24"/>
      <c r="C86" s="24"/>
      <c r="D86" s="24"/>
      <c r="E86" s="24"/>
      <c r="F86" s="24"/>
      <c r="G86" s="24"/>
      <c r="H86" s="24"/>
    </row>
    <row r="87" ht="15.75" customHeight="1">
      <c r="A87" s="24"/>
      <c r="B87" s="24"/>
      <c r="C87" s="24"/>
      <c r="D87" s="24"/>
      <c r="E87" s="24"/>
      <c r="F87" s="24"/>
      <c r="G87" s="24"/>
      <c r="H87" s="24"/>
    </row>
    <row r="88" ht="15.75" customHeight="1">
      <c r="A88" s="24"/>
      <c r="B88" s="24"/>
      <c r="C88" s="24"/>
      <c r="D88" s="24"/>
      <c r="E88" s="24"/>
      <c r="F88" s="24"/>
      <c r="G88" s="24"/>
      <c r="H88" s="24"/>
    </row>
    <row r="89" ht="15.75" customHeight="1">
      <c r="A89" s="24"/>
      <c r="B89" s="24"/>
      <c r="C89" s="24"/>
      <c r="D89" s="24"/>
      <c r="E89" s="24"/>
      <c r="F89" s="24"/>
      <c r="G89" s="24"/>
      <c r="H89" s="24"/>
    </row>
    <row r="90" ht="15.75" customHeight="1">
      <c r="A90" s="24"/>
      <c r="B90" s="24"/>
      <c r="C90" s="24"/>
      <c r="D90" s="24"/>
      <c r="E90" s="24"/>
      <c r="F90" s="24"/>
      <c r="G90" s="24"/>
      <c r="H90" s="24"/>
    </row>
    <row r="91" ht="15.75" customHeight="1">
      <c r="A91" s="24"/>
      <c r="B91" s="24"/>
      <c r="C91" s="24"/>
      <c r="D91" s="24"/>
      <c r="E91" s="24"/>
      <c r="F91" s="24"/>
      <c r="G91" s="24"/>
      <c r="H91" s="24"/>
    </row>
    <row r="92" ht="15.75" customHeight="1">
      <c r="A92" s="24"/>
      <c r="B92" s="24"/>
      <c r="C92" s="24"/>
      <c r="D92" s="24"/>
      <c r="E92" s="24"/>
      <c r="F92" s="24"/>
      <c r="G92" s="24"/>
      <c r="H92" s="24"/>
    </row>
    <row r="93" ht="15.75" customHeight="1">
      <c r="A93" s="24"/>
      <c r="B93" s="24"/>
      <c r="C93" s="24"/>
      <c r="D93" s="24"/>
      <c r="E93" s="24"/>
      <c r="F93" s="24"/>
      <c r="G93" s="24"/>
      <c r="H93" s="24"/>
    </row>
    <row r="94" ht="15.75" customHeight="1">
      <c r="A94" s="24"/>
      <c r="B94" s="24"/>
      <c r="C94" s="24"/>
      <c r="D94" s="24"/>
      <c r="E94" s="24"/>
      <c r="F94" s="24"/>
      <c r="G94" s="24"/>
      <c r="H94" s="24"/>
    </row>
    <row r="95" ht="15.75" customHeight="1">
      <c r="A95" s="24"/>
      <c r="B95" s="24"/>
      <c r="C95" s="24"/>
      <c r="D95" s="24"/>
      <c r="E95" s="24"/>
      <c r="F95" s="24"/>
      <c r="G95" s="24"/>
      <c r="H95" s="24"/>
    </row>
    <row r="96" ht="15.75" customHeight="1">
      <c r="A96" s="24"/>
      <c r="B96" s="24"/>
      <c r="C96" s="24"/>
      <c r="D96" s="24"/>
      <c r="E96" s="24"/>
      <c r="F96" s="24"/>
      <c r="G96" s="24"/>
      <c r="H96" s="24"/>
    </row>
    <row r="97" ht="15.75" customHeight="1">
      <c r="A97" s="24"/>
      <c r="B97" s="24"/>
      <c r="C97" s="24"/>
      <c r="D97" s="24"/>
      <c r="E97" s="24"/>
      <c r="F97" s="24"/>
      <c r="G97" s="24"/>
      <c r="H97" s="24"/>
    </row>
    <row r="98" ht="15.75" customHeight="1">
      <c r="A98" s="24"/>
      <c r="B98" s="24"/>
      <c r="C98" s="24"/>
      <c r="D98" s="24"/>
      <c r="E98" s="24"/>
      <c r="F98" s="24"/>
      <c r="G98" s="24"/>
      <c r="H98" s="24"/>
    </row>
    <row r="99" ht="15.75" customHeight="1">
      <c r="A99" s="24"/>
      <c r="B99" s="24"/>
      <c r="C99" s="24"/>
      <c r="D99" s="24"/>
      <c r="E99" s="24"/>
      <c r="F99" s="24"/>
      <c r="G99" s="24"/>
      <c r="H99" s="24"/>
    </row>
    <row r="100" ht="15.75" customHeight="1">
      <c r="A100" s="24"/>
      <c r="B100" s="24"/>
      <c r="C100" s="24"/>
      <c r="D100" s="24"/>
      <c r="E100" s="24"/>
      <c r="F100" s="24"/>
      <c r="G100" s="24"/>
      <c r="H100" s="24"/>
    </row>
    <row r="101" ht="15.75" customHeight="1">
      <c r="A101" s="24"/>
      <c r="B101" s="24"/>
      <c r="C101" s="24"/>
      <c r="D101" s="24"/>
      <c r="E101" s="24"/>
      <c r="F101" s="24"/>
      <c r="G101" s="24"/>
      <c r="H101" s="24"/>
    </row>
    <row r="102" ht="15.75" customHeight="1">
      <c r="A102" s="24"/>
      <c r="B102" s="24"/>
      <c r="C102" s="24"/>
      <c r="D102" s="24"/>
      <c r="E102" s="24"/>
      <c r="F102" s="24"/>
      <c r="G102" s="24"/>
      <c r="H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</row>
    <row r="1001" ht="15.75" customHeight="1">
      <c r="A1001" s="24"/>
      <c r="B1001" s="24"/>
      <c r="C1001" s="24"/>
      <c r="D1001" s="24"/>
      <c r="E1001" s="24"/>
      <c r="F1001" s="24"/>
      <c r="G1001" s="24"/>
      <c r="H1001" s="24"/>
    </row>
  </sheetData>
  <mergeCells count="4">
    <mergeCell ref="A1:F1"/>
    <mergeCell ref="A2:F2"/>
    <mergeCell ref="B3:D3"/>
    <mergeCell ref="A19:F19"/>
  </mergeCells>
  <printOptions/>
  <pageMargins bottom="1.0" footer="0.0" header="0.0" left="0.75" right="0.75" top="1.0"/>
  <pageSetup orientation="landscape"/>
  <drawing r:id="rId1"/>
</worksheet>
</file>