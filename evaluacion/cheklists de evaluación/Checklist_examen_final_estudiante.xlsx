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xamen final informe" sheetId="1" state="visible" r:id="rId3"/>
    <sheet name="Examen final oral" sheetId="2" state="visible" r:id="rId4"/>
    <sheet name="Nota del examen" sheetId="3" state="visible" r:id="rId5"/>
    <sheet name="Rúbricas (referencia)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<sst xmlns="http://schemas.openxmlformats.org/spreadsheetml/2006/main" count="237" uniqueCount="163">
  <si>
    <t xml:space="preserve">CHECKLIST · EXAMEN FINAL · PARTE ESCRITA</t>
  </si>
  <si>
    <t xml:space="preserve">Sin acceso a internet ni a IA, y sobre resultados ya proporcionados: no se evalúan uso de IA ni referencias. Escala por ítem: 0 · 0,5 · 1.</t>
  </si>
  <si>
    <t xml:space="preserve">Estudiante:</t>
  </si>
  <si>
    <t xml:space="preserve">Fecha:</t>
  </si>
  <si>
    <t xml:space="preserve">Caso / Proyecto:</t>
  </si>
  <si>
    <t xml:space="preserve">Evaluador/a:</t>
  </si>
  <si>
    <t xml:space="preserve">NOTA DE LA PRUEBA (sobre 10) →</t>
  </si>
  <si>
    <t xml:space="preserve">Condición →</t>
  </si>
  <si>
    <t xml:space="preserve">#</t>
  </si>
  <si>
    <t xml:space="preserve">Cuestión a verificar</t>
  </si>
  <si>
    <t xml:space="preserve">Valoración</t>
  </si>
  <si>
    <t xml:space="preserve">Valor</t>
  </si>
  <si>
    <t xml:space="preserve">Observaciones / evidencia</t>
  </si>
  <si>
    <t xml:space="preserve">  CRITERIO 1 · Justificaciones técnicas e interpretación   —   peso 35%</t>
  </si>
  <si>
    <t xml:space="preserve">  Qué se valora: Justificación de la modelización e interpretación correcta de los resultados (escala adecuada).</t>
  </si>
  <si>
    <t xml:space="preserve">1.1</t>
  </si>
  <si>
    <t xml:space="preserve">Justifica la modelización a partir de la naturaleza de la variable respuesta (familia y enlace).</t>
  </si>
  <si>
    <t xml:space="preserve">1.2</t>
  </si>
  <si>
    <t xml:space="preserve">Explica qué pregunta responde cada uno de los resultados proporcionados.</t>
  </si>
  <si>
    <t xml:space="preserve">1.3</t>
  </si>
  <si>
    <t xml:space="preserve">Interpreta los efectos en la escala correcta (OR, IRR, efectos marginales).</t>
  </si>
  <si>
    <t xml:space="preserve">1.4</t>
  </si>
  <si>
    <t xml:space="preserve">Traduce las magnitudes al lenguaje del problema.</t>
  </si>
  <si>
    <t xml:space="preserve">1.5</t>
  </si>
  <si>
    <t xml:space="preserve">Interpreta la incertidumbre (IC o error estándar) que acompaña a las estimaciones.</t>
  </si>
  <si>
    <t xml:space="preserve">1.6</t>
  </si>
  <si>
    <t xml:space="preserve">Valora la bondad de ajuste y los supuestos a partir de la información disponible.</t>
  </si>
  <si>
    <t xml:space="preserve">Subtotal criterio 1 · cumplimiento y puntuación →</t>
  </si>
  <si>
    <t xml:space="preserve">sobre 3</t>
  </si>
  <si>
    <t xml:space="preserve">  CRITERIO 2 · Soluciones e implicaciones derivadas   —   peso 25%</t>
  </si>
  <si>
    <t xml:space="preserve">  Qué se valora: Soluciones propuestas e implicaciones extraídas de los resultados.</t>
  </si>
  <si>
    <t xml:space="preserve">2.1</t>
  </si>
  <si>
    <t xml:space="preserve">Deriva de los resultados implicaciones concretas para el problema planteado.</t>
  </si>
  <si>
    <t xml:space="preserve">2.2</t>
  </si>
  <si>
    <t xml:space="preserve">Las soluciones propuestas se apoyan en la evidencia mostrada, no en opiniones.</t>
  </si>
  <si>
    <t xml:space="preserve">2.3</t>
  </si>
  <si>
    <t xml:space="preserve">Distingue lo que los datos permiten afirmar de lo que no.</t>
  </si>
  <si>
    <t xml:space="preserve">2.4</t>
  </si>
  <si>
    <t xml:space="preserve">Las propuestas son accionables y están priorizadas.</t>
  </si>
  <si>
    <t xml:space="preserve">Subtotal criterio 2 · cumplimiento y puntuación →</t>
  </si>
  <si>
    <t xml:space="preserve">  CRITERIO 3 · Comunicación escrita   —   peso 20%</t>
  </si>
  <si>
    <t xml:space="preserve">  Qué se valora: Claridad, orden y precisión de la redacción.</t>
  </si>
  <si>
    <t xml:space="preserve">3.1</t>
  </si>
  <si>
    <t xml:space="preserve">El razonamiento se sigue de principio a fin, sin saltos.</t>
  </si>
  <si>
    <t xml:space="preserve">3.2</t>
  </si>
  <si>
    <t xml:space="preserve">La redacción es precisa: cada término técnico se usa con un único significado.</t>
  </si>
  <si>
    <t xml:space="preserve">3.3</t>
  </si>
  <si>
    <t xml:space="preserve">No hay errores gramaticales u ortográficos relevantes.</t>
  </si>
  <si>
    <t xml:space="preserve">3.4</t>
  </si>
  <si>
    <t xml:space="preserve">La extensión se ajusta a lo pedido, sin relleno ni omisiones.</t>
  </si>
  <si>
    <t xml:space="preserve">Subtotal criterio 3 · cumplimiento y puntuación →</t>
  </si>
  <si>
    <t xml:space="preserve">  CRITERIO 4 · Ajuste al formato estandarizado   —   peso 20%</t>
  </si>
  <si>
    <t xml:space="preserve">  Qué se valora: Respeto del formato solicitado (estructura, figuras y tablas).</t>
  </si>
  <si>
    <t xml:space="preserve">4.1</t>
  </si>
  <si>
    <t xml:space="preserve">Respeta la estructura de secciones solicitada y su orden.</t>
  </si>
  <si>
    <t xml:space="preserve">4.2</t>
  </si>
  <si>
    <t xml:space="preserve">Las figuras y tablas están numeradas y referidas en el texto.</t>
  </si>
  <si>
    <t xml:space="preserve">4.3</t>
  </si>
  <si>
    <t xml:space="preserve">Las figuras y tablas llevan título o pie interpretativo y son legibles.</t>
  </si>
  <si>
    <t xml:space="preserve">4.4</t>
  </si>
  <si>
    <t xml:space="preserve">El formato es homogéneo en todo el documento.</t>
  </si>
  <si>
    <t xml:space="preserve">Subtotal criterio 4 · cumplimiento y puntuación →</t>
  </si>
  <si>
    <t xml:space="preserve">  RESUMEN Y CALIFICACIÓN</t>
  </si>
  <si>
    <t xml:space="preserve">Criterio</t>
  </si>
  <si>
    <t xml:space="preserve">Peso</t>
  </si>
  <si>
    <t xml:space="preserve">% cumpl.</t>
  </si>
  <si>
    <t xml:space="preserve">Punt. (0–3)</t>
  </si>
  <si>
    <t xml:space="preserve">Punt. continua</t>
  </si>
  <si>
    <t xml:space="preserve">Justificaciones técnicas e interpretación</t>
  </si>
  <si>
    <t xml:space="preserve">Soluciones e implicaciones derivadas</t>
  </si>
  <si>
    <t xml:space="preserve">Comunicación escrita</t>
  </si>
  <si>
    <t xml:space="preserve">Ajuste al formato estandarizado</t>
  </si>
  <si>
    <t xml:space="preserve">Suma de pesos:</t>
  </si>
  <si>
    <t xml:space="preserve">NOTA DE LA PRUEBA (sobre 10)</t>
  </si>
  <si>
    <t xml:space="preserve">Nota continua (referencia, sin redondear a 0–3)</t>
  </si>
  <si>
    <t xml:space="preserve">¿Supera la prueba?</t>
  </si>
  <si>
    <t xml:space="preserve">Condición de superación</t>
  </si>
  <si>
    <t xml:space="preserve">Nota ≥ 3,5.</t>
  </si>
  <si>
    <t xml:space="preserve">  PARÁMETROS DE CONVERSIÓN · % de cumplimiento → puntuación (0–3)</t>
  </si>
  <si>
    <t xml:space="preserve">Regla</t>
  </si>
  <si>
    <t xml:space="preserve">Umbral</t>
  </si>
  <si>
    <t xml:space="preserve">Puntuación 3 · Excelente — si el cumplimiento es ≥</t>
  </si>
  <si>
    <t xml:space="preserve">Puntuación 2 · Notable — si el cumplimiento es ≥</t>
  </si>
  <si>
    <t xml:space="preserve">Puntuación 1 · Recuperable — si el cumplimiento es ≥</t>
  </si>
  <si>
    <t xml:space="preserve">Puntuación 0 · Suspenso — por debajo de ese último umbral</t>
  </si>
  <si>
    <t xml:space="preserve">Celdas en azul sobre fondo amarillo = editables (cabecera, pesos y umbrales). El resto son fórmulas: no las sobrescribas.
Criterios, pesos y descriptores proceden de Rubricas_evaluacion.xlsx. Fórmula de la nota, idéntica a la del original: Nota = (Σ pesoᵢ · puntᵢ) / 3 × 10.
Los umbrales de conversión son una propuesta, no proceden de la rúbrica original: ajústalos si tu criterio difiere.</t>
  </si>
  <si>
    <t xml:space="preserve">CHECKLIST · EXAMEN FINAL · DEFENSA ORAL</t>
  </si>
  <si>
    <t xml:space="preserve">El estudiante expone su informe y responde a las preguntas. Sin recursos de consulta. Escala por ítem: 0 · 0,5 · 1.</t>
  </si>
  <si>
    <t xml:space="preserve">  CRITERIO 1 · Justificación y corrección técnica   —   peso 40%</t>
  </si>
  <si>
    <t xml:space="preserve">  Qué se valora: Corrección técnica y justificación de las respuestas a las preguntas.</t>
  </si>
  <si>
    <t xml:space="preserve">Responde a lo que se pregunta, sin desviarse.</t>
  </si>
  <si>
    <t xml:space="preserve">La respuesta es técnicamente correcta.</t>
  </si>
  <si>
    <t xml:space="preserve">Justifica la respuesta; no se limita a afirmarla.</t>
  </si>
  <si>
    <t xml:space="preserve">Usa la terminología con precisión.</t>
  </si>
  <si>
    <t xml:space="preserve">Reconoce lo que no sabe en lugar de improvisar.</t>
  </si>
  <si>
    <t xml:space="preserve">  CRITERIO 2 · Interpretación   —   peso 35%</t>
  </si>
  <si>
    <t xml:space="preserve">  Qué se valora: Interpretación de los resultados en la escala correcta y en el contexto del problema.</t>
  </si>
  <si>
    <t xml:space="preserve">Traduce la magnitud al lenguaje del problema.</t>
  </si>
  <si>
    <t xml:space="preserve">Incorpora la incertidumbre a la interpretación.</t>
  </si>
  <si>
    <t xml:space="preserve">Distingue asociación de causalidad y acota el alcance.</t>
  </si>
  <si>
    <t xml:space="preserve">  CRITERIO 3 · Comunicación oral   —   peso 25%</t>
  </si>
  <si>
    <t xml:space="preserve">  Qué se valora: Claridad, orden y precisión al exponer el informe y responder.</t>
  </si>
  <si>
    <t xml:space="preserve">La exposición del informe sigue un orden comprensible.</t>
  </si>
  <si>
    <t xml:space="preserve">Se expresa con claridad y a un ritmo que permite seguirle.</t>
  </si>
  <si>
    <t xml:space="preserve">Selecciona lo esencial y se ajusta al tiempo.</t>
  </si>
  <si>
    <t xml:space="preserve">Mantiene una actitud profesional en la interacción.</t>
  </si>
  <si>
    <t xml:space="preserve">Justificación y corrección técnica</t>
  </si>
  <si>
    <t xml:space="preserve">Interpretación</t>
  </si>
  <si>
    <t xml:space="preserve">Comunicación oral</t>
  </si>
  <si>
    <t xml:space="preserve">NOTA DEL EXAMEN FINAL</t>
  </si>
  <si>
    <t xml:space="preserve">Ambas notas llegan solas de las hojas anteriores. Los pesos (celdas azules) proceden del organigrama: N = 0,5·Inf + 0,5·Def.</t>
  </si>
  <si>
    <t xml:space="preserve">Componente</t>
  </si>
  <si>
    <t xml:space="preserve">Nota /10</t>
  </si>
  <si>
    <t xml:space="preserve">Informe (Inf)</t>
  </si>
  <si>
    <t xml:space="preserve">Defensa oral (Def)</t>
  </si>
  <si>
    <t xml:space="preserve">NOTA DEL EXAMEN FINAL (sobre 10) =</t>
  </si>
  <si>
    <t xml:space="preserve">¿Supera la asignatura? (≥ 5)</t>
  </si>
  <si>
    <t xml:space="preserve">Cada parte tiene además su propio mínimo de 3,5/10, que se comprueba en su hoja. El corte de 5 para superar la asignatura procede del organigrama de evaluación, no de las hojas de rúbrica.</t>
  </si>
  <si>
    <t xml:space="preserve">Rúbricas originales · copia literal</t>
  </si>
  <si>
    <t xml:space="preserve">Copiadas de Rubricas_evaluacion.xlsx. Sirven para contrastar la puntuación derivada del checklist con el descriptor global antes de cerrar la nota.</t>
  </si>
  <si>
    <t xml:space="preserve">  Examen final · informe</t>
  </si>
  <si>
    <t xml:space="preserve">Qué se valora</t>
  </si>
  <si>
    <t xml:space="preserve">0 · Suspenso</t>
  </si>
  <si>
    <t xml:space="preserve">1 · Recuperable</t>
  </si>
  <si>
    <t xml:space="preserve">2 · Notable</t>
  </si>
  <si>
    <t xml:space="preserve">3 · Excelente</t>
  </si>
  <si>
    <t xml:space="preserve">Justificación de la modelización e interpretación correcta de los resultados (escala adecuada).</t>
  </si>
  <si>
    <t xml:space="preserve">No justifica la modelización o interpreta de forma incorrecta.</t>
  </si>
  <si>
    <t xml:space="preserve">Justifica o interpreta a medias, con errores que no lo invalidan del todo.</t>
  </si>
  <si>
    <t xml:space="preserve">Justifica e interpreta correctamente, con alguna imprecisión.</t>
  </si>
  <si>
    <t xml:space="preserve">Justifica con solidez e interpreta con precisión, en la escala correcta y en lenguaje del problema.</t>
  </si>
  <si>
    <t xml:space="preserve">Soluciones propuestas e implicaciones extraídas de los resultados.</t>
  </si>
  <si>
    <t xml:space="preserve">No deriva soluciones ni implicaciones, o son erróneas.</t>
  </si>
  <si>
    <t xml:space="preserve">Soluciones o implicaciones vagas o solo parcialmente correctas.</t>
  </si>
  <si>
    <t xml:space="preserve">Soluciones e implicaciones correctas, con algún punto sin desarrollar.</t>
  </si>
  <si>
    <t xml:space="preserve">Soluciones e implicaciones pertinentes, bien razonadas y útiles para la decisión.</t>
  </si>
  <si>
    <t xml:space="preserve">Claridad, orden y precisión de la redacción.</t>
  </si>
  <si>
    <t xml:space="preserve">Redacción confusa; no se sigue el razonamiento.</t>
  </si>
  <si>
    <t xml:space="preserve">Redacción mejorable; ideas desordenadas o imprecisas.</t>
  </si>
  <si>
    <t xml:space="preserve">Redacción clara y ordenada, con descuidos menores.</t>
  </si>
  <si>
    <t xml:space="preserve">Redacción excelente, precisa y bien estructurada.</t>
  </si>
  <si>
    <t xml:space="preserve">Respeto del formato solicitado (estructura, figuras y tablas).</t>
  </si>
  <si>
    <t xml:space="preserve">No respeta el formato solicitado.</t>
  </si>
  <si>
    <t xml:space="preserve">Cumple el formato a medias; estructura o figuras/tablas con fallos.</t>
  </si>
  <si>
    <t xml:space="preserve">Respeta el formato, con descuidos menores en estructura o figuras/tablas.</t>
  </si>
  <si>
    <t xml:space="preserve">Formato impecable: estructura, figuras y tablas conforme a lo solicitado.</t>
  </si>
  <si>
    <t xml:space="preserve">Conversión: Nota = (Σ pesoᵢ·puntᵢ)/3×10. Mínimo de la prueba: Nota ≥ 3,5/10. Descriptores orientativos; ajústense al caso.</t>
  </si>
  <si>
    <t xml:space="preserve">  Examen final · oral</t>
  </si>
  <si>
    <t xml:space="preserve">Corrección técnica y justificación de las respuestas a las preguntas.</t>
  </si>
  <si>
    <t xml:space="preserve">No responde o responde con errores graves; sin justificar.</t>
  </si>
  <si>
    <t xml:space="preserve">Responde a medias, con imprecisiones; justificación débil.</t>
  </si>
  <si>
    <t xml:space="preserve">Responde correctamente y justifica, con alguna laguna.</t>
  </si>
  <si>
    <t xml:space="preserve">Responde con solidez técnica y justifica con rigor.</t>
  </si>
  <si>
    <t xml:space="preserve">Interpretación de los resultados en la escala correcta y en el contexto del problema.</t>
  </si>
  <si>
    <t xml:space="preserve">No interpreta o lo hace de forma incorrecta.</t>
  </si>
  <si>
    <t xml:space="preserve">Interpretación superficial o en escala incorrecta.</t>
  </si>
  <si>
    <t xml:space="preserve">Interpreta correctamente, con alguna imprecisión.</t>
  </si>
  <si>
    <t xml:space="preserve">Interpreta con precisión, en la escala correcta y en lenguaje del problema.</t>
  </si>
  <si>
    <t xml:space="preserve">Claridad, orden y precisión al exponer el informe y responder.</t>
  </si>
  <si>
    <t xml:space="preserve">Exposición confusa; no transmite el contenido.</t>
  </si>
  <si>
    <t xml:space="preserve">Exposición poco clara o desordenada.</t>
  </si>
  <si>
    <t xml:space="preserve">Exposición clara y ordenada, con desviaciones menores.</t>
  </si>
  <si>
    <t xml:space="preserve">Exposición excelente: clara, precisa y bien estructurada.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</si>
</sst>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.00"/>
    <numFmt numFmtId="166" formatCode="0.0"/>
    <numFmt numFmtId="167" formatCode="0%"/>
    <numFmt numFmtId="168" formatCode="0"/>
  </numFmts>
  <fonts count="2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5F56C4"/>
      <name val="Arial"/>
      <family val="0"/>
      <charset val="1"/>
    </font>
    <font>
      <sz val="9"/>
      <color rgb="FF5F5E5A"/>
      <name val="Arial"/>
      <family val="0"/>
      <charset val="1"/>
    </font>
    <font>
      <b val="true"/>
      <sz val="10"/>
      <color rgb="FF2C2C2A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2"/>
      <color rgb="FF2C2C2A"/>
      <name val="Arial"/>
      <family val="0"/>
      <charset val="1"/>
    </font>
    <font>
      <b val="true"/>
      <sz val="16"/>
      <color rgb="FF5F56C4"/>
      <name val="Arial"/>
      <family val="0"/>
      <charset val="1"/>
    </font>
    <font>
      <b val="true"/>
      <sz val="10"/>
      <color rgb="FF993556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9"/>
      <color rgb="FF3C3489"/>
      <name val="Arial"/>
      <family val="0"/>
      <charset val="1"/>
    </font>
    <font>
      <b val="true"/>
      <sz val="9"/>
      <color rgb="FF5F5E5A"/>
      <name val="Arial"/>
      <family val="0"/>
      <charset val="1"/>
    </font>
    <font>
      <sz val="10"/>
      <color rgb="FF2C2C2A"/>
      <name val="Arial"/>
      <family val="0"/>
      <charset val="1"/>
    </font>
    <font>
      <b val="true"/>
      <sz val="10"/>
      <color rgb="FF5F56C4"/>
      <name val="Arial"/>
      <family val="0"/>
      <charset val="1"/>
    </font>
    <font>
      <b val="true"/>
      <sz val="11"/>
      <color rgb="FF5F56C4"/>
      <name val="Arial"/>
      <family val="0"/>
      <charset val="1"/>
    </font>
    <font>
      <b val="true"/>
      <sz val="12"/>
      <color rgb="FF5F56C4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b val="true"/>
      <sz val="11"/>
      <color rgb="FF2C2C2A"/>
      <name val="Arial"/>
      <family val="0"/>
      <charset val="1"/>
    </font>
    <font>
      <b val="true"/>
      <sz val="11"/>
      <color rgb="FF0000FF"/>
      <name val="Arial"/>
      <family val="0"/>
      <charset val="1"/>
    </font>
    <font>
      <b val="true"/>
      <sz val="9"/>
      <color rgb="FF2C2C2A"/>
      <name val="Arial"/>
      <family val="0"/>
      <charset val="1"/>
    </font>
    <font>
      <b val="true"/>
      <sz val="13"/>
      <color rgb="FF5F56C4"/>
      <name val="Arial"/>
      <family val="0"/>
      <charset val="1"/>
    </font>
    <font>
      <sz val="9"/>
      <color rgb="FF2C2C2A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FFF9D6"/>
        <bgColor rgb="FFFDF0D5"/>
      </patternFill>
    </fill>
    <fill>
      <patternFill patternType="solid">
        <fgColor rgb="FFEEEDFE"/>
        <bgColor rgb="FFDFF2E1"/>
      </patternFill>
    </fill>
    <fill>
      <patternFill patternType="solid">
        <fgColor rgb="FF5F56C4"/>
        <bgColor rgb="FF3366FF"/>
      </patternFill>
    </fill>
    <fill>
      <patternFill patternType="solid">
        <fgColor rgb="FFAFA9EC"/>
        <bgColor rgb="FFCC99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ECBF6"/>
      </left>
      <right style="thin">
        <color rgb="FFCECBF6"/>
      </right>
      <top style="thin">
        <color rgb="FFCECBF6"/>
      </top>
      <bottom style="thin">
        <color rgb="FFCECBF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5" fontId="9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1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4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3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5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6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8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9" fillId="4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5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2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5" fontId="4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2" fillId="5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5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21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22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8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2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23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2" fillId="4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1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2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24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7" fontId="24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ont>
        <name val="Arial"/>
        <charset val="1"/>
        <family val="0"/>
        <b val="1"/>
        <color rgb="FF8B2A3E"/>
        <sz val="10"/>
      </font>
      <fill>
        <patternFill>
          <bgColor rgb="FFF8D7DC"/>
        </patternFill>
      </fill>
    </dxf>
    <dxf>
      <font>
        <name val="Arial"/>
        <charset val="1"/>
        <family val="0"/>
        <b val="1"/>
        <color rgb="FF8A5A00"/>
        <sz val="10"/>
      </font>
      <fill>
        <patternFill>
          <bgColor rgb="FFFDF0D5"/>
        </patternFill>
      </fill>
    </dxf>
    <dxf>
      <font>
        <name val="Arial"/>
        <charset val="1"/>
        <family val="0"/>
        <b val="1"/>
        <color rgb="FF1F6B37"/>
        <sz val="10"/>
      </font>
      <fill>
        <patternFill>
          <bgColor rgb="FFDFF2E1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F6B37"/>
      <rgbColor rgb="FF000080"/>
      <rgbColor rgb="FF8A5A00"/>
      <rgbColor rgb="FF800080"/>
      <rgbColor rgb="FF008080"/>
      <rgbColor rgb="FFC0C0C0"/>
      <rgbColor rgb="FF5F5E5A"/>
      <rgbColor rgb="FFAFA9EC"/>
      <rgbColor rgb="FF993556"/>
      <rgbColor rgb="FFFFF9D6"/>
      <rgbColor rgb="FFEEEDFE"/>
      <rgbColor rgb="FF660066"/>
      <rgbColor rgb="FFFF8080"/>
      <rgbColor rgb="FF0066CC"/>
      <rgbColor rgb="FFCECBF6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FF2E1"/>
      <rgbColor rgb="FFFDF0D5"/>
      <rgbColor rgb="FF99CCFF"/>
      <rgbColor rgb="FFFF99CC"/>
      <rgbColor rgb="FFCC99FF"/>
      <rgbColor rgb="FFF8D7DC"/>
      <rgbColor rgb="FF3366FF"/>
      <rgbColor rgb="FF33CCCC"/>
      <rgbColor rgb="FF99CC00"/>
      <rgbColor rgb="FFFFCC00"/>
      <rgbColor rgb="FFFF9900"/>
      <rgbColor rgb="FFFF6600"/>
      <rgbColor rgb="FF5F56C4"/>
      <rgbColor rgb="FF969696"/>
      <rgbColor rgb="FF003366"/>
      <rgbColor rgb="FF339966"/>
      <rgbColor rgb="FF003300"/>
      <rgbColor rgb="FF333300"/>
      <rgbColor rgb="FF993300"/>
      <rgbColor rgb="FF8B2A3E"/>
      <rgbColor rgb="FF3C3489"/>
      <rgbColor rgb="FF2C2C2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6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8" topLeftCell="A9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76"/>
    <col collapsed="false" customWidth="true" hidden="false" outlineLevel="0" max="3" min="3" style="0" width="24"/>
    <col collapsed="false" customWidth="true" hidden="false" outlineLevel="0" max="4" min="4" style="0" width="11"/>
    <col collapsed="false" customWidth="true" hidden="false" outlineLevel="0" max="5" min="5" style="0" width="42"/>
    <col collapsed="false" customWidth="true" hidden="false" outlineLevel="0" max="6" min="6" style="0" width="14"/>
  </cols>
  <sheetData>
    <row r="1" customFormat="false" ht="21.75" hidden="false" customHeight="tru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3" t="s">
        <v>2</v>
      </c>
      <c r="C3" s="4"/>
      <c r="D3" s="5" t="s">
        <v>3</v>
      </c>
      <c r="E3" s="4"/>
    </row>
    <row r="4" customFormat="false" ht="15" hidden="false" customHeight="false" outlineLevel="0" collapsed="false">
      <c r="A4" s="3" t="s">
        <v>4</v>
      </c>
      <c r="C4" s="4"/>
      <c r="D4" s="5" t="s">
        <v>5</v>
      </c>
      <c r="E4" s="4"/>
    </row>
    <row r="6" customFormat="false" ht="24" hidden="false" customHeight="true" outlineLevel="0" collapsed="false">
      <c r="B6" s="6" t="s">
        <v>6</v>
      </c>
      <c r="C6" s="7" t="str">
        <f aca="false">D51</f>
        <v>—</v>
      </c>
      <c r="E6" s="8" t="str">
        <f aca="false">D53</f>
        <v>—</v>
      </c>
    </row>
    <row r="7" customFormat="false" ht="15" hidden="false" customHeight="false" outlineLevel="0" collapsed="false">
      <c r="B7" s="5" t="s">
        <v>7</v>
      </c>
      <c r="C7" s="9" t="str">
        <f aca="false">D54</f>
        <v>Nota ≥ 3,5.</v>
      </c>
    </row>
    <row r="8" customFormat="false" ht="15" hidden="false" customHeight="false" outlineLevel="0" collapsed="false">
      <c r="A8" s="10" t="s">
        <v>8</v>
      </c>
      <c r="B8" s="11" t="s">
        <v>9</v>
      </c>
      <c r="C8" s="10" t="s">
        <v>10</v>
      </c>
      <c r="D8" s="10" t="s">
        <v>11</v>
      </c>
      <c r="E8" s="10" t="s">
        <v>12</v>
      </c>
    </row>
    <row r="9" customFormat="false" ht="21.75" hidden="false" customHeight="true" outlineLevel="0" collapsed="false">
      <c r="A9" s="12" t="s">
        <v>13</v>
      </c>
      <c r="B9" s="12"/>
      <c r="C9" s="12"/>
      <c r="D9" s="12"/>
      <c r="E9" s="12"/>
    </row>
    <row r="10" customFormat="false" ht="21" hidden="false" customHeight="true" outlineLevel="0" collapsed="false">
      <c r="A10" s="13" t="s">
        <v>14</v>
      </c>
      <c r="B10" s="13"/>
      <c r="C10" s="13"/>
      <c r="D10" s="13"/>
      <c r="E10" s="13"/>
    </row>
    <row r="11" customFormat="false" ht="36" hidden="false" customHeight="true" outlineLevel="0" collapsed="false">
      <c r="A11" s="14" t="s">
        <v>15</v>
      </c>
      <c r="B11" s="15" t="s">
        <v>16</v>
      </c>
      <c r="C11" s="16"/>
      <c r="D11" s="17" t="str">
        <f aca="false">IF(C11="","",IF(C11="Total cumplimiento",1,IF(C11="Cumplimiento parcial",0.5,0)))</f>
        <v/>
      </c>
      <c r="E11" s="18"/>
    </row>
    <row r="12" customFormat="false" ht="25.5" hidden="false" customHeight="true" outlineLevel="0" collapsed="false">
      <c r="A12" s="14" t="s">
        <v>17</v>
      </c>
      <c r="B12" s="15" t="s">
        <v>18</v>
      </c>
      <c r="C12" s="16"/>
      <c r="D12" s="17" t="str">
        <f aca="false">IF(C12="","",IF(C12="Total cumplimiento",1,IF(C12="Cumplimiento parcial",0.5,0)))</f>
        <v/>
      </c>
      <c r="E12" s="18"/>
    </row>
    <row r="13" customFormat="false" ht="25.5" hidden="false" customHeight="true" outlineLevel="0" collapsed="false">
      <c r="A13" s="14" t="s">
        <v>19</v>
      </c>
      <c r="B13" s="15" t="s">
        <v>20</v>
      </c>
      <c r="C13" s="16"/>
      <c r="D13" s="17" t="str">
        <f aca="false">IF(C13="","",IF(C13="Total cumplimiento",1,IF(C13="Cumplimiento parcial",0.5,0)))</f>
        <v/>
      </c>
      <c r="E13" s="18"/>
    </row>
    <row r="14" customFormat="false" ht="25.5" hidden="false" customHeight="true" outlineLevel="0" collapsed="false">
      <c r="A14" s="14" t="s">
        <v>21</v>
      </c>
      <c r="B14" s="15" t="s">
        <v>22</v>
      </c>
      <c r="C14" s="16"/>
      <c r="D14" s="17" t="str">
        <f aca="false">IF(C14="","",IF(C14="Total cumplimiento",1,IF(C14="Cumplimiento parcial",0.5,0)))</f>
        <v/>
      </c>
      <c r="E14" s="18"/>
    </row>
    <row r="15" customFormat="false" ht="25.5" hidden="false" customHeight="true" outlineLevel="0" collapsed="false">
      <c r="A15" s="14" t="s">
        <v>23</v>
      </c>
      <c r="B15" s="15" t="s">
        <v>24</v>
      </c>
      <c r="C15" s="16"/>
      <c r="D15" s="17" t="str">
        <f aca="false">IF(C15="","",IF(C15="Total cumplimiento",1,IF(C15="Cumplimiento parcial",0.5,0)))</f>
        <v/>
      </c>
      <c r="E15" s="18"/>
    </row>
    <row r="16" customFormat="false" ht="25.5" hidden="false" customHeight="true" outlineLevel="0" collapsed="false">
      <c r="A16" s="14" t="s">
        <v>25</v>
      </c>
      <c r="B16" s="15" t="s">
        <v>26</v>
      </c>
      <c r="C16" s="16"/>
      <c r="D16" s="17" t="str">
        <f aca="false">IF(C16="","",IF(C16="Total cumplimiento",1,IF(C16="Cumplimiento parcial",0.5,0)))</f>
        <v/>
      </c>
      <c r="E16" s="18"/>
    </row>
    <row r="17" customFormat="false" ht="15" hidden="false" customHeight="false" outlineLevel="0" collapsed="false">
      <c r="B17" s="19" t="s">
        <v>27</v>
      </c>
      <c r="C17" s="20" t="str">
        <f aca="false">IF(COUNT(D11:D16)&lt;6,"",AVERAGE(D11:D16))</f>
        <v/>
      </c>
      <c r="D17" s="21" t="str">
        <f aca="false">IF(C17="","",IF(C17&gt;=$D$59,3,IF(C17&gt;=$D$60,2,IF(C17&gt;=$D$61,1,0))))</f>
        <v/>
      </c>
      <c r="E17" s="22" t="s">
        <v>28</v>
      </c>
    </row>
    <row r="19" customFormat="false" ht="21.75" hidden="false" customHeight="true" outlineLevel="0" collapsed="false">
      <c r="A19" s="12" t="s">
        <v>29</v>
      </c>
      <c r="B19" s="12"/>
      <c r="C19" s="12"/>
      <c r="D19" s="12"/>
      <c r="E19" s="12"/>
    </row>
    <row r="20" customFormat="false" ht="21" hidden="false" customHeight="true" outlineLevel="0" collapsed="false">
      <c r="A20" s="13" t="s">
        <v>30</v>
      </c>
      <c r="B20" s="13"/>
      <c r="C20" s="13"/>
      <c r="D20" s="13"/>
      <c r="E20" s="13"/>
    </row>
    <row r="21" customFormat="false" ht="25.5" hidden="false" customHeight="true" outlineLevel="0" collapsed="false">
      <c r="A21" s="14" t="s">
        <v>31</v>
      </c>
      <c r="B21" s="15" t="s">
        <v>32</v>
      </c>
      <c r="C21" s="16"/>
      <c r="D21" s="17" t="str">
        <f aca="false">IF(C21="","",IF(C21="Total cumplimiento",1,IF(C21="Cumplimiento parcial",0.5,0)))</f>
        <v/>
      </c>
      <c r="E21" s="18"/>
    </row>
    <row r="22" customFormat="false" ht="25.5" hidden="false" customHeight="true" outlineLevel="0" collapsed="false">
      <c r="A22" s="14" t="s">
        <v>33</v>
      </c>
      <c r="B22" s="15" t="s">
        <v>34</v>
      </c>
      <c r="C22" s="16"/>
      <c r="D22" s="17" t="str">
        <f aca="false">IF(C22="","",IF(C22="Total cumplimiento",1,IF(C22="Cumplimiento parcial",0.5,0)))</f>
        <v/>
      </c>
      <c r="E22" s="18"/>
    </row>
    <row r="23" customFormat="false" ht="25.5" hidden="false" customHeight="true" outlineLevel="0" collapsed="false">
      <c r="A23" s="14" t="s">
        <v>35</v>
      </c>
      <c r="B23" s="15" t="s">
        <v>36</v>
      </c>
      <c r="C23" s="16"/>
      <c r="D23" s="17" t="str">
        <f aca="false">IF(C23="","",IF(C23="Total cumplimiento",1,IF(C23="Cumplimiento parcial",0.5,0)))</f>
        <v/>
      </c>
      <c r="E23" s="18"/>
    </row>
    <row r="24" customFormat="false" ht="25.5" hidden="false" customHeight="true" outlineLevel="0" collapsed="false">
      <c r="A24" s="14" t="s">
        <v>37</v>
      </c>
      <c r="B24" s="15" t="s">
        <v>38</v>
      </c>
      <c r="C24" s="16"/>
      <c r="D24" s="17" t="str">
        <f aca="false">IF(C24="","",IF(C24="Total cumplimiento",1,IF(C24="Cumplimiento parcial",0.5,0)))</f>
        <v/>
      </c>
      <c r="E24" s="18"/>
    </row>
    <row r="25" customFormat="false" ht="15" hidden="false" customHeight="false" outlineLevel="0" collapsed="false">
      <c r="B25" s="19" t="s">
        <v>39</v>
      </c>
      <c r="C25" s="20" t="str">
        <f aca="false">IF(COUNT(D21:D24)&lt;4,"",AVERAGE(D21:D24))</f>
        <v/>
      </c>
      <c r="D25" s="21" t="str">
        <f aca="false">IF(C25="","",IF(C25&gt;=$D$59,3,IF(C25&gt;=$D$60,2,IF(C25&gt;=$D$61,1,0))))</f>
        <v/>
      </c>
      <c r="E25" s="22" t="s">
        <v>28</v>
      </c>
    </row>
    <row r="27" customFormat="false" ht="21.75" hidden="false" customHeight="true" outlineLevel="0" collapsed="false">
      <c r="A27" s="12" t="s">
        <v>40</v>
      </c>
      <c r="B27" s="12"/>
      <c r="C27" s="12"/>
      <c r="D27" s="12"/>
      <c r="E27" s="12"/>
    </row>
    <row r="28" customFormat="false" ht="21" hidden="false" customHeight="true" outlineLevel="0" collapsed="false">
      <c r="A28" s="13" t="s">
        <v>41</v>
      </c>
      <c r="B28" s="13"/>
      <c r="C28" s="13"/>
      <c r="D28" s="13"/>
      <c r="E28" s="13"/>
    </row>
    <row r="29" customFormat="false" ht="25.5" hidden="false" customHeight="true" outlineLevel="0" collapsed="false">
      <c r="A29" s="14" t="s">
        <v>42</v>
      </c>
      <c r="B29" s="15" t="s">
        <v>43</v>
      </c>
      <c r="C29" s="16"/>
      <c r="D29" s="17" t="str">
        <f aca="false">IF(C29="","",IF(C29="Total cumplimiento",1,IF(C29="Cumplimiento parcial",0.5,0)))</f>
        <v/>
      </c>
      <c r="E29" s="18"/>
    </row>
    <row r="30" customFormat="false" ht="25.5" hidden="false" customHeight="true" outlineLevel="0" collapsed="false">
      <c r="A30" s="14" t="s">
        <v>44</v>
      </c>
      <c r="B30" s="15" t="s">
        <v>45</v>
      </c>
      <c r="C30" s="16"/>
      <c r="D30" s="17" t="str">
        <f aca="false">IF(C30="","",IF(C30="Total cumplimiento",1,IF(C30="Cumplimiento parcial",0.5,0)))</f>
        <v/>
      </c>
      <c r="E30" s="18"/>
    </row>
    <row r="31" customFormat="false" ht="25.5" hidden="false" customHeight="true" outlineLevel="0" collapsed="false">
      <c r="A31" s="14" t="s">
        <v>46</v>
      </c>
      <c r="B31" s="15" t="s">
        <v>47</v>
      </c>
      <c r="C31" s="16"/>
      <c r="D31" s="17" t="str">
        <f aca="false">IF(C31="","",IF(C31="Total cumplimiento",1,IF(C31="Cumplimiento parcial",0.5,0)))</f>
        <v/>
      </c>
      <c r="E31" s="18"/>
    </row>
    <row r="32" customFormat="false" ht="25.5" hidden="false" customHeight="true" outlineLevel="0" collapsed="false">
      <c r="A32" s="14" t="s">
        <v>48</v>
      </c>
      <c r="B32" s="15" t="s">
        <v>49</v>
      </c>
      <c r="C32" s="16"/>
      <c r="D32" s="17" t="str">
        <f aca="false">IF(C32="","",IF(C32="Total cumplimiento",1,IF(C32="Cumplimiento parcial",0.5,0)))</f>
        <v/>
      </c>
      <c r="E32" s="18"/>
    </row>
    <row r="33" customFormat="false" ht="15" hidden="false" customHeight="false" outlineLevel="0" collapsed="false">
      <c r="B33" s="19" t="s">
        <v>50</v>
      </c>
      <c r="C33" s="20" t="str">
        <f aca="false">IF(COUNT(D29:D32)&lt;4,"",AVERAGE(D29:D32))</f>
        <v/>
      </c>
      <c r="D33" s="21" t="str">
        <f aca="false">IF(C33="","",IF(C33&gt;=$D$59,3,IF(C33&gt;=$D$60,2,IF(C33&gt;=$D$61,1,0))))</f>
        <v/>
      </c>
      <c r="E33" s="22" t="s">
        <v>28</v>
      </c>
    </row>
    <row r="35" customFormat="false" ht="21.75" hidden="false" customHeight="true" outlineLevel="0" collapsed="false">
      <c r="A35" s="12" t="s">
        <v>51</v>
      </c>
      <c r="B35" s="12"/>
      <c r="C35" s="12"/>
      <c r="D35" s="12"/>
      <c r="E35" s="12"/>
    </row>
    <row r="36" customFormat="false" ht="21" hidden="false" customHeight="true" outlineLevel="0" collapsed="false">
      <c r="A36" s="13" t="s">
        <v>52</v>
      </c>
      <c r="B36" s="13"/>
      <c r="C36" s="13"/>
      <c r="D36" s="13"/>
      <c r="E36" s="13"/>
    </row>
    <row r="37" customFormat="false" ht="25.5" hidden="false" customHeight="true" outlineLevel="0" collapsed="false">
      <c r="A37" s="14" t="s">
        <v>53</v>
      </c>
      <c r="B37" s="15" t="s">
        <v>54</v>
      </c>
      <c r="C37" s="16"/>
      <c r="D37" s="17" t="str">
        <f aca="false">IF(C37="","",IF(C37="Total cumplimiento",1,IF(C37="Cumplimiento parcial",0.5,0)))</f>
        <v/>
      </c>
      <c r="E37" s="18"/>
    </row>
    <row r="38" customFormat="false" ht="25.5" hidden="false" customHeight="true" outlineLevel="0" collapsed="false">
      <c r="A38" s="14" t="s">
        <v>55</v>
      </c>
      <c r="B38" s="15" t="s">
        <v>56</v>
      </c>
      <c r="C38" s="16"/>
      <c r="D38" s="17" t="str">
        <f aca="false">IF(C38="","",IF(C38="Total cumplimiento",1,IF(C38="Cumplimiento parcial",0.5,0)))</f>
        <v/>
      </c>
      <c r="E38" s="18"/>
    </row>
    <row r="39" customFormat="false" ht="25.5" hidden="false" customHeight="true" outlineLevel="0" collapsed="false">
      <c r="A39" s="14" t="s">
        <v>57</v>
      </c>
      <c r="B39" s="15" t="s">
        <v>58</v>
      </c>
      <c r="C39" s="16"/>
      <c r="D39" s="17" t="str">
        <f aca="false">IF(C39="","",IF(C39="Total cumplimiento",1,IF(C39="Cumplimiento parcial",0.5,0)))</f>
        <v/>
      </c>
      <c r="E39" s="18"/>
    </row>
    <row r="40" customFormat="false" ht="25.5" hidden="false" customHeight="true" outlineLevel="0" collapsed="false">
      <c r="A40" s="14" t="s">
        <v>59</v>
      </c>
      <c r="B40" s="15" t="s">
        <v>60</v>
      </c>
      <c r="C40" s="16"/>
      <c r="D40" s="17" t="str">
        <f aca="false">IF(C40="","",IF(C40="Total cumplimiento",1,IF(C40="Cumplimiento parcial",0.5,0)))</f>
        <v/>
      </c>
      <c r="E40" s="18"/>
    </row>
    <row r="41" customFormat="false" ht="15" hidden="false" customHeight="false" outlineLevel="0" collapsed="false">
      <c r="B41" s="19" t="s">
        <v>61</v>
      </c>
      <c r="C41" s="20" t="str">
        <f aca="false">IF(COUNT(D37:D40)&lt;4,"",AVERAGE(D37:D40))</f>
        <v/>
      </c>
      <c r="D41" s="21" t="str">
        <f aca="false">IF(C41="","",IF(C41&gt;=$D$59,3,IF(C41&gt;=$D$60,2,IF(C41&gt;=$D$61,1,0))))</f>
        <v/>
      </c>
      <c r="E41" s="22" t="s">
        <v>28</v>
      </c>
    </row>
    <row r="43" customFormat="false" ht="24" hidden="false" customHeight="true" outlineLevel="0" collapsed="false">
      <c r="A43" s="23" t="s">
        <v>62</v>
      </c>
      <c r="B43" s="23"/>
      <c r="C43" s="23"/>
      <c r="D43" s="23"/>
      <c r="E43" s="23"/>
      <c r="F43" s="23"/>
    </row>
    <row r="44" customFormat="false" ht="15" hidden="false" customHeight="false" outlineLevel="0" collapsed="false">
      <c r="A44" s="24" t="s">
        <v>8</v>
      </c>
      <c r="B44" s="25" t="s">
        <v>63</v>
      </c>
      <c r="C44" s="24" t="s">
        <v>64</v>
      </c>
      <c r="D44" s="24" t="s">
        <v>65</v>
      </c>
      <c r="E44" s="24" t="s">
        <v>66</v>
      </c>
      <c r="F44" s="24" t="s">
        <v>67</v>
      </c>
    </row>
    <row r="45" customFormat="false" ht="15" hidden="false" customHeight="false" outlineLevel="0" collapsed="false">
      <c r="A45" s="14" t="n">
        <v>1</v>
      </c>
      <c r="B45" s="26" t="s">
        <v>68</v>
      </c>
      <c r="C45" s="27" t="n">
        <v>0.35</v>
      </c>
      <c r="D45" s="28" t="str">
        <f aca="false">C17</f>
        <v/>
      </c>
      <c r="E45" s="29" t="str">
        <f aca="false">D17</f>
        <v/>
      </c>
      <c r="F45" s="30" t="str">
        <f aca="false">IF(D45="","",ROUND(D45*3,2))</f>
        <v/>
      </c>
    </row>
    <row r="46" customFormat="false" ht="15" hidden="false" customHeight="false" outlineLevel="0" collapsed="false">
      <c r="A46" s="14" t="n">
        <v>2</v>
      </c>
      <c r="B46" s="26" t="s">
        <v>69</v>
      </c>
      <c r="C46" s="27" t="n">
        <v>0.25</v>
      </c>
      <c r="D46" s="28" t="str">
        <f aca="false">C25</f>
        <v/>
      </c>
      <c r="E46" s="29" t="str">
        <f aca="false">D25</f>
        <v/>
      </c>
      <c r="F46" s="30" t="str">
        <f aca="false">IF(D46="","",ROUND(D46*3,2))</f>
        <v/>
      </c>
    </row>
    <row r="47" customFormat="false" ht="15" hidden="false" customHeight="false" outlineLevel="0" collapsed="false">
      <c r="A47" s="14" t="n">
        <v>3</v>
      </c>
      <c r="B47" s="26" t="s">
        <v>70</v>
      </c>
      <c r="C47" s="27" t="n">
        <v>0.2</v>
      </c>
      <c r="D47" s="28" t="str">
        <f aca="false">C33</f>
        <v/>
      </c>
      <c r="E47" s="29" t="str">
        <f aca="false">D33</f>
        <v/>
      </c>
      <c r="F47" s="30" t="str">
        <f aca="false">IF(D47="","",ROUND(D47*3,2))</f>
        <v/>
      </c>
    </row>
    <row r="48" customFormat="false" ht="15" hidden="false" customHeight="false" outlineLevel="0" collapsed="false">
      <c r="A48" s="14" t="n">
        <v>4</v>
      </c>
      <c r="B48" s="26" t="s">
        <v>71</v>
      </c>
      <c r="C48" s="27" t="n">
        <v>0.2</v>
      </c>
      <c r="D48" s="28" t="str">
        <f aca="false">C41</f>
        <v/>
      </c>
      <c r="E48" s="29" t="str">
        <f aca="false">D41</f>
        <v/>
      </c>
      <c r="F48" s="30" t="str">
        <f aca="false">IF(D48="","",ROUND(D48*3,2))</f>
        <v/>
      </c>
    </row>
    <row r="49" customFormat="false" ht="15" hidden="false" customHeight="false" outlineLevel="0" collapsed="false">
      <c r="C49" s="31" t="s">
        <v>72</v>
      </c>
      <c r="D49" s="32" t="n">
        <f aca="false">SUM(C45:C48)</f>
        <v>1</v>
      </c>
    </row>
    <row r="51" customFormat="false" ht="17.35" hidden="false" customHeight="false" outlineLevel="0" collapsed="false">
      <c r="B51" s="33" t="s">
        <v>73</v>
      </c>
      <c r="D51" s="34" t="str">
        <f aca="false">IF(COUNT(E45:E48)&lt;4,"—",ROUND(SUMPRODUCT(C45:C48,E45:E48)/3*10,2))</f>
        <v>—</v>
      </c>
    </row>
    <row r="52" customFormat="false" ht="15" hidden="false" customHeight="false" outlineLevel="0" collapsed="false">
      <c r="B52" s="5" t="s">
        <v>74</v>
      </c>
      <c r="D52" s="30" t="str">
        <f aca="false">IF(COUNT(F45:F48)&lt;4,"—",ROUND(SUMPRODUCT(C45:C48,F45:F48)/3*10,2))</f>
        <v>—</v>
      </c>
    </row>
    <row r="53" customFormat="false" ht="15" hidden="false" customHeight="false" outlineLevel="0" collapsed="false">
      <c r="B53" s="5" t="s">
        <v>75</v>
      </c>
      <c r="D53" s="35" t="str">
        <f aca="false">IF(ISNUMBER(D51),IF(D51&gt;=3.5,"Supera","No supera"),"—")</f>
        <v>—</v>
      </c>
    </row>
    <row r="54" customFormat="false" ht="15" hidden="false" customHeight="false" outlineLevel="0" collapsed="false">
      <c r="B54" s="36" t="s">
        <v>76</v>
      </c>
      <c r="D54" s="9" t="s">
        <v>77</v>
      </c>
    </row>
    <row r="57" customFormat="false" ht="15" hidden="false" customHeight="false" outlineLevel="0" collapsed="false">
      <c r="A57" s="37" t="s">
        <v>78</v>
      </c>
      <c r="B57" s="37"/>
      <c r="C57" s="37"/>
      <c r="D57" s="37"/>
      <c r="E57" s="37"/>
      <c r="F57" s="37"/>
    </row>
    <row r="58" customFormat="false" ht="15" hidden="false" customHeight="false" outlineLevel="0" collapsed="false">
      <c r="A58" s="24"/>
      <c r="B58" s="38" t="s">
        <v>79</v>
      </c>
      <c r="C58" s="24"/>
      <c r="D58" s="24" t="s">
        <v>80</v>
      </c>
      <c r="E58" s="24"/>
      <c r="F58" s="24"/>
    </row>
    <row r="59" customFormat="false" ht="15" hidden="false" customHeight="false" outlineLevel="0" collapsed="false">
      <c r="A59" s="26"/>
      <c r="B59" s="39" t="s">
        <v>81</v>
      </c>
      <c r="C59" s="26"/>
      <c r="D59" s="40" t="n">
        <v>0.85</v>
      </c>
    </row>
    <row r="60" customFormat="false" ht="15" hidden="false" customHeight="false" outlineLevel="0" collapsed="false">
      <c r="A60" s="26"/>
      <c r="B60" s="39" t="s">
        <v>82</v>
      </c>
      <c r="C60" s="26"/>
      <c r="D60" s="40" t="n">
        <v>0.65</v>
      </c>
    </row>
    <row r="61" customFormat="false" ht="15" hidden="false" customHeight="false" outlineLevel="0" collapsed="false">
      <c r="A61" s="26"/>
      <c r="B61" s="39" t="s">
        <v>83</v>
      </c>
      <c r="C61" s="26"/>
      <c r="D61" s="40" t="n">
        <v>0.4</v>
      </c>
    </row>
    <row r="62" customFormat="false" ht="15" hidden="false" customHeight="false" outlineLevel="0" collapsed="false">
      <c r="A62" s="26"/>
      <c r="B62" s="39" t="s">
        <v>84</v>
      </c>
      <c r="C62" s="26"/>
      <c r="D62" s="40"/>
    </row>
    <row r="63" customFormat="false" ht="15" hidden="false" customHeight="true" outlineLevel="0" collapsed="false">
      <c r="A63" s="41" t="s">
        <v>85</v>
      </c>
      <c r="B63" s="41"/>
      <c r="C63" s="41"/>
      <c r="D63" s="41"/>
      <c r="E63" s="41"/>
      <c r="F63" s="41"/>
    </row>
    <row r="64" customFormat="false" ht="15" hidden="false" customHeight="true" outlineLevel="0" collapsed="false">
      <c r="A64" s="41"/>
      <c r="B64" s="41"/>
      <c r="C64" s="41"/>
      <c r="D64" s="41"/>
      <c r="E64" s="41"/>
      <c r="F64" s="41"/>
    </row>
    <row r="65" customFormat="false" ht="15" hidden="false" customHeight="true" outlineLevel="0" collapsed="false">
      <c r="A65" s="41"/>
      <c r="B65" s="41"/>
      <c r="C65" s="41"/>
      <c r="D65" s="41"/>
      <c r="E65" s="41"/>
      <c r="F65" s="41"/>
    </row>
  </sheetData>
  <mergeCells count="11">
    <mergeCell ref="A9:E9"/>
    <mergeCell ref="A10:E10"/>
    <mergeCell ref="A19:E19"/>
    <mergeCell ref="A20:E20"/>
    <mergeCell ref="A27:E27"/>
    <mergeCell ref="A28:E28"/>
    <mergeCell ref="A35:E35"/>
    <mergeCell ref="A36:E36"/>
    <mergeCell ref="A43:F43"/>
    <mergeCell ref="A57:F57"/>
    <mergeCell ref="A63:F65"/>
  </mergeCells>
  <conditionalFormatting sqref="C11:C16">
    <cfRule type="cellIs" priority="2" operator="equal" aboveAverage="0" equalAverage="0" bottom="0" percent="0" rank="0" text="" dxfId="0">
      <formula>"Nulo cumplimiento"</formula>
    </cfRule>
    <cfRule type="cellIs" priority="3" operator="equal" aboveAverage="0" equalAverage="0" bottom="0" percent="0" rank="0" text="" dxfId="1">
      <formula>"Cumplimiento parcial"</formula>
    </cfRule>
    <cfRule type="cellIs" priority="4" operator="equal" aboveAverage="0" equalAverage="0" bottom="0" percent="0" rank="0" text="" dxfId="2">
      <formula>"Total cumplimiento"</formula>
    </cfRule>
  </conditionalFormatting>
  <conditionalFormatting sqref="C21:C24">
    <cfRule type="cellIs" priority="5" operator="equal" aboveAverage="0" equalAverage="0" bottom="0" percent="0" rank="0" text="" dxfId="0">
      <formula>"Nulo cumplimiento"</formula>
    </cfRule>
    <cfRule type="cellIs" priority="6" operator="equal" aboveAverage="0" equalAverage="0" bottom="0" percent="0" rank="0" text="" dxfId="1">
      <formula>"Cumplimiento parcial"</formula>
    </cfRule>
    <cfRule type="cellIs" priority="7" operator="equal" aboveAverage="0" equalAverage="0" bottom="0" percent="0" rank="0" text="" dxfId="2">
      <formula>"Total cumplimiento"</formula>
    </cfRule>
  </conditionalFormatting>
  <conditionalFormatting sqref="C29:C32">
    <cfRule type="cellIs" priority="8" operator="equal" aboveAverage="0" equalAverage="0" bottom="0" percent="0" rank="0" text="" dxfId="0">
      <formula>"Nulo cumplimiento"</formula>
    </cfRule>
    <cfRule type="cellIs" priority="9" operator="equal" aboveAverage="0" equalAverage="0" bottom="0" percent="0" rank="0" text="" dxfId="1">
      <formula>"Cumplimiento parcial"</formula>
    </cfRule>
    <cfRule type="cellIs" priority="10" operator="equal" aboveAverage="0" equalAverage="0" bottom="0" percent="0" rank="0" text="" dxfId="2">
      <formula>"Total cumplimiento"</formula>
    </cfRule>
  </conditionalFormatting>
  <conditionalFormatting sqref="C37:C40">
    <cfRule type="cellIs" priority="11" operator="equal" aboveAverage="0" equalAverage="0" bottom="0" percent="0" rank="0" text="" dxfId="0">
      <formula>"Nulo cumplimiento"</formula>
    </cfRule>
    <cfRule type="cellIs" priority="12" operator="equal" aboveAverage="0" equalAverage="0" bottom="0" percent="0" rank="0" text="" dxfId="1">
      <formula>"Cumplimiento parcial"</formula>
    </cfRule>
    <cfRule type="cellIs" priority="13" operator="equal" aboveAverage="0" equalAverage="0" bottom="0" percent="0" rank="0" text="" dxfId="2">
      <formula>"Total cumplimiento"</formula>
    </cfRule>
  </conditionalFormatting>
  <dataValidations count="1">
    <dataValidation allowBlank="true" error="Elige un valor de la lista desplegable." errorStyle="stop" errorTitle="Valor no admitido" operator="between" showDropDown="false" showErrorMessage="false" showInputMessage="false" sqref="C11:C16 C21:C24 C29:C32 C37:C40" type="list">
      <formula1>"Nulo cumplimiento,Cumplimiento parcial,Total cumplimiento"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5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8" topLeftCell="A9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76"/>
    <col collapsed="false" customWidth="true" hidden="false" outlineLevel="0" max="3" min="3" style="0" width="24"/>
    <col collapsed="false" customWidth="true" hidden="false" outlineLevel="0" max="4" min="4" style="0" width="11"/>
    <col collapsed="false" customWidth="true" hidden="false" outlineLevel="0" max="5" min="5" style="0" width="42"/>
    <col collapsed="false" customWidth="true" hidden="false" outlineLevel="0" max="6" min="6" style="0" width="14"/>
  </cols>
  <sheetData>
    <row r="1" customFormat="false" ht="21.75" hidden="false" customHeight="true" outlineLevel="0" collapsed="false">
      <c r="A1" s="1" t="s">
        <v>86</v>
      </c>
    </row>
    <row r="2" customFormat="false" ht="15" hidden="false" customHeight="false" outlineLevel="0" collapsed="false">
      <c r="A2" s="2" t="s">
        <v>87</v>
      </c>
    </row>
    <row r="3" customFormat="false" ht="15" hidden="false" customHeight="false" outlineLevel="0" collapsed="false">
      <c r="A3" s="3" t="s">
        <v>2</v>
      </c>
      <c r="C3" s="4"/>
      <c r="D3" s="5" t="s">
        <v>3</v>
      </c>
      <c r="E3" s="4"/>
    </row>
    <row r="4" customFormat="false" ht="15" hidden="false" customHeight="false" outlineLevel="0" collapsed="false">
      <c r="A4" s="3" t="s">
        <v>4</v>
      </c>
      <c r="C4" s="4"/>
      <c r="D4" s="5" t="s">
        <v>5</v>
      </c>
      <c r="E4" s="4"/>
    </row>
    <row r="6" customFormat="false" ht="24" hidden="false" customHeight="true" outlineLevel="0" collapsed="false">
      <c r="B6" s="6" t="s">
        <v>6</v>
      </c>
      <c r="C6" s="7" t="str">
        <f aca="false">D41</f>
        <v>—</v>
      </c>
      <c r="E6" s="8" t="str">
        <f aca="false">D43</f>
        <v>—</v>
      </c>
    </row>
    <row r="7" customFormat="false" ht="15" hidden="false" customHeight="false" outlineLevel="0" collapsed="false">
      <c r="B7" s="5" t="s">
        <v>7</v>
      </c>
      <c r="C7" s="9" t="str">
        <f aca="false">D44</f>
        <v>Nota ≥ 3,5.</v>
      </c>
    </row>
    <row r="8" customFormat="false" ht="15" hidden="false" customHeight="false" outlineLevel="0" collapsed="false">
      <c r="A8" s="10" t="s">
        <v>8</v>
      </c>
      <c r="B8" s="11" t="s">
        <v>9</v>
      </c>
      <c r="C8" s="10" t="s">
        <v>10</v>
      </c>
      <c r="D8" s="10" t="s">
        <v>11</v>
      </c>
      <c r="E8" s="10" t="s">
        <v>12</v>
      </c>
    </row>
    <row r="9" customFormat="false" ht="21.75" hidden="false" customHeight="true" outlineLevel="0" collapsed="false">
      <c r="A9" s="12" t="s">
        <v>88</v>
      </c>
      <c r="B9" s="12"/>
      <c r="C9" s="12"/>
      <c r="D9" s="12"/>
      <c r="E9" s="12"/>
    </row>
    <row r="10" customFormat="false" ht="21" hidden="false" customHeight="true" outlineLevel="0" collapsed="false">
      <c r="A10" s="13" t="s">
        <v>89</v>
      </c>
      <c r="B10" s="13"/>
      <c r="C10" s="13"/>
      <c r="D10" s="13"/>
      <c r="E10" s="13"/>
    </row>
    <row r="11" customFormat="false" ht="25.5" hidden="false" customHeight="true" outlineLevel="0" collapsed="false">
      <c r="A11" s="14" t="s">
        <v>15</v>
      </c>
      <c r="B11" s="15" t="s">
        <v>90</v>
      </c>
      <c r="C11" s="16"/>
      <c r="D11" s="17" t="str">
        <f aca="false">IF(C11="","",IF(C11="Total cumplimiento",1,IF(C11="Cumplimiento parcial",0.5,0)))</f>
        <v/>
      </c>
      <c r="E11" s="18"/>
    </row>
    <row r="12" customFormat="false" ht="25.5" hidden="false" customHeight="true" outlineLevel="0" collapsed="false">
      <c r="A12" s="14" t="s">
        <v>17</v>
      </c>
      <c r="B12" s="15" t="s">
        <v>91</v>
      </c>
      <c r="C12" s="16"/>
      <c r="D12" s="17" t="str">
        <f aca="false">IF(C12="","",IF(C12="Total cumplimiento",1,IF(C12="Cumplimiento parcial",0.5,0)))</f>
        <v/>
      </c>
      <c r="E12" s="18"/>
    </row>
    <row r="13" customFormat="false" ht="25.5" hidden="false" customHeight="true" outlineLevel="0" collapsed="false">
      <c r="A13" s="14" t="s">
        <v>19</v>
      </c>
      <c r="B13" s="15" t="s">
        <v>92</v>
      </c>
      <c r="C13" s="16"/>
      <c r="D13" s="17" t="str">
        <f aca="false">IF(C13="","",IF(C13="Total cumplimiento",1,IF(C13="Cumplimiento parcial",0.5,0)))</f>
        <v/>
      </c>
      <c r="E13" s="18"/>
    </row>
    <row r="14" customFormat="false" ht="25.5" hidden="false" customHeight="true" outlineLevel="0" collapsed="false">
      <c r="A14" s="14" t="s">
        <v>21</v>
      </c>
      <c r="B14" s="15" t="s">
        <v>93</v>
      </c>
      <c r="C14" s="16"/>
      <c r="D14" s="17" t="str">
        <f aca="false">IF(C14="","",IF(C14="Total cumplimiento",1,IF(C14="Cumplimiento parcial",0.5,0)))</f>
        <v/>
      </c>
      <c r="E14" s="18"/>
    </row>
    <row r="15" customFormat="false" ht="25.5" hidden="false" customHeight="true" outlineLevel="0" collapsed="false">
      <c r="A15" s="14" t="s">
        <v>23</v>
      </c>
      <c r="B15" s="15" t="s">
        <v>94</v>
      </c>
      <c r="C15" s="16"/>
      <c r="D15" s="17" t="str">
        <f aca="false">IF(C15="","",IF(C15="Total cumplimiento",1,IF(C15="Cumplimiento parcial",0.5,0)))</f>
        <v/>
      </c>
      <c r="E15" s="18"/>
    </row>
    <row r="16" customFormat="false" ht="15" hidden="false" customHeight="false" outlineLevel="0" collapsed="false">
      <c r="B16" s="19" t="s">
        <v>27</v>
      </c>
      <c r="C16" s="20" t="str">
        <f aca="false">IF(COUNT(D11:D15)&lt;5,"",AVERAGE(D11:D15))</f>
        <v/>
      </c>
      <c r="D16" s="21" t="str">
        <f aca="false">IF(C16="","",IF(C16&gt;=$D$49,3,IF(C16&gt;=$D$50,2,IF(C16&gt;=$D$51,1,0))))</f>
        <v/>
      </c>
      <c r="E16" s="22" t="s">
        <v>28</v>
      </c>
    </row>
    <row r="18" customFormat="false" ht="21.75" hidden="false" customHeight="true" outlineLevel="0" collapsed="false">
      <c r="A18" s="12" t="s">
        <v>95</v>
      </c>
      <c r="B18" s="12"/>
      <c r="C18" s="12"/>
      <c r="D18" s="12"/>
      <c r="E18" s="12"/>
    </row>
    <row r="19" customFormat="false" ht="21" hidden="false" customHeight="true" outlineLevel="0" collapsed="false">
      <c r="A19" s="13" t="s">
        <v>96</v>
      </c>
      <c r="B19" s="13"/>
      <c r="C19" s="13"/>
      <c r="D19" s="13"/>
      <c r="E19" s="13"/>
    </row>
    <row r="20" customFormat="false" ht="25.5" hidden="false" customHeight="true" outlineLevel="0" collapsed="false">
      <c r="A20" s="14" t="s">
        <v>31</v>
      </c>
      <c r="B20" s="15" t="s">
        <v>20</v>
      </c>
      <c r="C20" s="16"/>
      <c r="D20" s="17" t="str">
        <f aca="false">IF(C20="","",IF(C20="Total cumplimiento",1,IF(C20="Cumplimiento parcial",0.5,0)))</f>
        <v/>
      </c>
      <c r="E20" s="18"/>
    </row>
    <row r="21" customFormat="false" ht="25.5" hidden="false" customHeight="true" outlineLevel="0" collapsed="false">
      <c r="A21" s="14" t="s">
        <v>33</v>
      </c>
      <c r="B21" s="15" t="s">
        <v>97</v>
      </c>
      <c r="C21" s="16"/>
      <c r="D21" s="17" t="str">
        <f aca="false">IF(C21="","",IF(C21="Total cumplimiento",1,IF(C21="Cumplimiento parcial",0.5,0)))</f>
        <v/>
      </c>
      <c r="E21" s="18"/>
    </row>
    <row r="22" customFormat="false" ht="25.5" hidden="false" customHeight="true" outlineLevel="0" collapsed="false">
      <c r="A22" s="14" t="s">
        <v>35</v>
      </c>
      <c r="B22" s="15" t="s">
        <v>98</v>
      </c>
      <c r="C22" s="16"/>
      <c r="D22" s="17" t="str">
        <f aca="false">IF(C22="","",IF(C22="Total cumplimiento",1,IF(C22="Cumplimiento parcial",0.5,0)))</f>
        <v/>
      </c>
      <c r="E22" s="18"/>
    </row>
    <row r="23" customFormat="false" ht="25.5" hidden="false" customHeight="true" outlineLevel="0" collapsed="false">
      <c r="A23" s="14" t="s">
        <v>37</v>
      </c>
      <c r="B23" s="15" t="s">
        <v>99</v>
      </c>
      <c r="C23" s="16"/>
      <c r="D23" s="17" t="str">
        <f aca="false">IF(C23="","",IF(C23="Total cumplimiento",1,IF(C23="Cumplimiento parcial",0.5,0)))</f>
        <v/>
      </c>
      <c r="E23" s="18"/>
    </row>
    <row r="24" customFormat="false" ht="15" hidden="false" customHeight="false" outlineLevel="0" collapsed="false">
      <c r="B24" s="19" t="s">
        <v>39</v>
      </c>
      <c r="C24" s="20" t="str">
        <f aca="false">IF(COUNT(D20:D23)&lt;4,"",AVERAGE(D20:D23))</f>
        <v/>
      </c>
      <c r="D24" s="21" t="str">
        <f aca="false">IF(C24="","",IF(C24&gt;=$D$49,3,IF(C24&gt;=$D$50,2,IF(C24&gt;=$D$51,1,0))))</f>
        <v/>
      </c>
      <c r="E24" s="22" t="s">
        <v>28</v>
      </c>
    </row>
    <row r="26" customFormat="false" ht="21.75" hidden="false" customHeight="true" outlineLevel="0" collapsed="false">
      <c r="A26" s="12" t="s">
        <v>100</v>
      </c>
      <c r="B26" s="12"/>
      <c r="C26" s="12"/>
      <c r="D26" s="12"/>
      <c r="E26" s="12"/>
    </row>
    <row r="27" customFormat="false" ht="21" hidden="false" customHeight="true" outlineLevel="0" collapsed="false">
      <c r="A27" s="13" t="s">
        <v>101</v>
      </c>
      <c r="B27" s="13"/>
      <c r="C27" s="13"/>
      <c r="D27" s="13"/>
      <c r="E27" s="13"/>
    </row>
    <row r="28" customFormat="false" ht="25.5" hidden="false" customHeight="true" outlineLevel="0" collapsed="false">
      <c r="A28" s="14" t="s">
        <v>42</v>
      </c>
      <c r="B28" s="15" t="s">
        <v>102</v>
      </c>
      <c r="C28" s="16"/>
      <c r="D28" s="17" t="str">
        <f aca="false">IF(C28="","",IF(C28="Total cumplimiento",1,IF(C28="Cumplimiento parcial",0.5,0)))</f>
        <v/>
      </c>
      <c r="E28" s="18"/>
    </row>
    <row r="29" customFormat="false" ht="25.5" hidden="false" customHeight="true" outlineLevel="0" collapsed="false">
      <c r="A29" s="14" t="s">
        <v>44</v>
      </c>
      <c r="B29" s="15" t="s">
        <v>103</v>
      </c>
      <c r="C29" s="16"/>
      <c r="D29" s="17" t="str">
        <f aca="false">IF(C29="","",IF(C29="Total cumplimiento",1,IF(C29="Cumplimiento parcial",0.5,0)))</f>
        <v/>
      </c>
      <c r="E29" s="18"/>
    </row>
    <row r="30" customFormat="false" ht="25.5" hidden="false" customHeight="true" outlineLevel="0" collapsed="false">
      <c r="A30" s="14" t="s">
        <v>46</v>
      </c>
      <c r="B30" s="15" t="s">
        <v>104</v>
      </c>
      <c r="C30" s="16"/>
      <c r="D30" s="17" t="str">
        <f aca="false">IF(C30="","",IF(C30="Total cumplimiento",1,IF(C30="Cumplimiento parcial",0.5,0)))</f>
        <v/>
      </c>
      <c r="E30" s="18"/>
    </row>
    <row r="31" customFormat="false" ht="25.5" hidden="false" customHeight="true" outlineLevel="0" collapsed="false">
      <c r="A31" s="14" t="s">
        <v>48</v>
      </c>
      <c r="B31" s="15" t="s">
        <v>105</v>
      </c>
      <c r="C31" s="16"/>
      <c r="D31" s="17" t="str">
        <f aca="false">IF(C31="","",IF(C31="Total cumplimiento",1,IF(C31="Cumplimiento parcial",0.5,0)))</f>
        <v/>
      </c>
      <c r="E31" s="18"/>
    </row>
    <row r="32" customFormat="false" ht="15" hidden="false" customHeight="false" outlineLevel="0" collapsed="false">
      <c r="B32" s="19" t="s">
        <v>50</v>
      </c>
      <c r="C32" s="20" t="str">
        <f aca="false">IF(COUNT(D28:D31)&lt;4,"",AVERAGE(D28:D31))</f>
        <v/>
      </c>
      <c r="D32" s="21" t="str">
        <f aca="false">IF(C32="","",IF(C32&gt;=$D$49,3,IF(C32&gt;=$D$50,2,IF(C32&gt;=$D$51,1,0))))</f>
        <v/>
      </c>
      <c r="E32" s="22" t="s">
        <v>28</v>
      </c>
    </row>
    <row r="34" customFormat="false" ht="24" hidden="false" customHeight="true" outlineLevel="0" collapsed="false">
      <c r="A34" s="23" t="s">
        <v>62</v>
      </c>
      <c r="B34" s="23"/>
      <c r="C34" s="23"/>
      <c r="D34" s="23"/>
      <c r="E34" s="23"/>
      <c r="F34" s="23"/>
    </row>
    <row r="35" customFormat="false" ht="15" hidden="false" customHeight="false" outlineLevel="0" collapsed="false">
      <c r="A35" s="24" t="s">
        <v>8</v>
      </c>
      <c r="B35" s="25" t="s">
        <v>63</v>
      </c>
      <c r="C35" s="24" t="s">
        <v>64</v>
      </c>
      <c r="D35" s="24" t="s">
        <v>65</v>
      </c>
      <c r="E35" s="24" t="s">
        <v>66</v>
      </c>
      <c r="F35" s="24" t="s">
        <v>67</v>
      </c>
    </row>
    <row r="36" customFormat="false" ht="15" hidden="false" customHeight="false" outlineLevel="0" collapsed="false">
      <c r="A36" s="14" t="n">
        <v>1</v>
      </c>
      <c r="B36" s="26" t="s">
        <v>106</v>
      </c>
      <c r="C36" s="27" t="n">
        <v>0.4</v>
      </c>
      <c r="D36" s="28" t="str">
        <f aca="false">C16</f>
        <v/>
      </c>
      <c r="E36" s="29" t="str">
        <f aca="false">D16</f>
        <v/>
      </c>
      <c r="F36" s="30" t="str">
        <f aca="false">IF(D36="","",ROUND(D36*3,2))</f>
        <v/>
      </c>
    </row>
    <row r="37" customFormat="false" ht="15" hidden="false" customHeight="false" outlineLevel="0" collapsed="false">
      <c r="A37" s="14" t="n">
        <v>2</v>
      </c>
      <c r="B37" s="26" t="s">
        <v>107</v>
      </c>
      <c r="C37" s="27" t="n">
        <v>0.35</v>
      </c>
      <c r="D37" s="28" t="str">
        <f aca="false">C24</f>
        <v/>
      </c>
      <c r="E37" s="29" t="str">
        <f aca="false">D24</f>
        <v/>
      </c>
      <c r="F37" s="30" t="str">
        <f aca="false">IF(D37="","",ROUND(D37*3,2))</f>
        <v/>
      </c>
    </row>
    <row r="38" customFormat="false" ht="15" hidden="false" customHeight="false" outlineLevel="0" collapsed="false">
      <c r="A38" s="14" t="n">
        <v>3</v>
      </c>
      <c r="B38" s="26" t="s">
        <v>108</v>
      </c>
      <c r="C38" s="27" t="n">
        <v>0.25</v>
      </c>
      <c r="D38" s="28" t="str">
        <f aca="false">C32</f>
        <v/>
      </c>
      <c r="E38" s="29" t="str">
        <f aca="false">D32</f>
        <v/>
      </c>
      <c r="F38" s="30" t="str">
        <f aca="false">IF(D38="","",ROUND(D38*3,2))</f>
        <v/>
      </c>
    </row>
    <row r="39" customFormat="false" ht="15" hidden="false" customHeight="false" outlineLevel="0" collapsed="false">
      <c r="C39" s="31" t="s">
        <v>72</v>
      </c>
      <c r="D39" s="32" t="n">
        <f aca="false">SUM(C36:C38)</f>
        <v>1</v>
      </c>
    </row>
    <row r="41" customFormat="false" ht="17.35" hidden="false" customHeight="false" outlineLevel="0" collapsed="false">
      <c r="B41" s="33" t="s">
        <v>73</v>
      </c>
      <c r="D41" s="34" t="str">
        <f aca="false">IF(COUNT(E36:E38)&lt;3,"—",ROUND(SUMPRODUCT(C36:C38,E36:E38)/3*10,2))</f>
        <v>—</v>
      </c>
    </row>
    <row r="42" customFormat="false" ht="15" hidden="false" customHeight="false" outlineLevel="0" collapsed="false">
      <c r="B42" s="5" t="s">
        <v>74</v>
      </c>
      <c r="D42" s="30" t="str">
        <f aca="false">IF(COUNT(F36:F38)&lt;3,"—",ROUND(SUMPRODUCT(C36:C38,F36:F38)/3*10,2))</f>
        <v>—</v>
      </c>
    </row>
    <row r="43" customFormat="false" ht="15" hidden="false" customHeight="false" outlineLevel="0" collapsed="false">
      <c r="B43" s="5" t="s">
        <v>75</v>
      </c>
      <c r="D43" s="35" t="str">
        <f aca="false">IF(ISNUMBER(D41),IF(D41&gt;=3.5,"Supera","No supera"),"—")</f>
        <v>—</v>
      </c>
    </row>
    <row r="44" customFormat="false" ht="15" hidden="false" customHeight="false" outlineLevel="0" collapsed="false">
      <c r="B44" s="36" t="s">
        <v>76</v>
      </c>
      <c r="D44" s="9" t="s">
        <v>77</v>
      </c>
    </row>
    <row r="47" customFormat="false" ht="15" hidden="false" customHeight="false" outlineLevel="0" collapsed="false">
      <c r="A47" s="37" t="s">
        <v>78</v>
      </c>
      <c r="B47" s="37"/>
      <c r="C47" s="37"/>
      <c r="D47" s="37"/>
      <c r="E47" s="37"/>
      <c r="F47" s="37"/>
    </row>
    <row r="48" customFormat="false" ht="15" hidden="false" customHeight="false" outlineLevel="0" collapsed="false">
      <c r="A48" s="24"/>
      <c r="B48" s="38" t="s">
        <v>79</v>
      </c>
      <c r="C48" s="24"/>
      <c r="D48" s="24" t="s">
        <v>80</v>
      </c>
      <c r="E48" s="24"/>
      <c r="F48" s="24"/>
    </row>
    <row r="49" customFormat="false" ht="15" hidden="false" customHeight="false" outlineLevel="0" collapsed="false">
      <c r="A49" s="26"/>
      <c r="B49" s="39" t="s">
        <v>81</v>
      </c>
      <c r="C49" s="26"/>
      <c r="D49" s="40" t="n">
        <v>0.85</v>
      </c>
    </row>
    <row r="50" customFormat="false" ht="15" hidden="false" customHeight="false" outlineLevel="0" collapsed="false">
      <c r="A50" s="26"/>
      <c r="B50" s="39" t="s">
        <v>82</v>
      </c>
      <c r="C50" s="26"/>
      <c r="D50" s="40" t="n">
        <v>0.65</v>
      </c>
    </row>
    <row r="51" customFormat="false" ht="15" hidden="false" customHeight="false" outlineLevel="0" collapsed="false">
      <c r="A51" s="26"/>
      <c r="B51" s="39" t="s">
        <v>83</v>
      </c>
      <c r="C51" s="26"/>
      <c r="D51" s="40" t="n">
        <v>0.4</v>
      </c>
    </row>
    <row r="52" customFormat="false" ht="15" hidden="false" customHeight="false" outlineLevel="0" collapsed="false">
      <c r="A52" s="26"/>
      <c r="B52" s="39" t="s">
        <v>84</v>
      </c>
      <c r="C52" s="26"/>
      <c r="D52" s="40"/>
    </row>
    <row r="53" customFormat="false" ht="15" hidden="false" customHeight="true" outlineLevel="0" collapsed="false">
      <c r="A53" s="41" t="s">
        <v>85</v>
      </c>
      <c r="B53" s="41"/>
      <c r="C53" s="41"/>
      <c r="D53" s="41"/>
      <c r="E53" s="41"/>
      <c r="F53" s="41"/>
    </row>
    <row r="54" customFormat="false" ht="15" hidden="false" customHeight="true" outlineLevel="0" collapsed="false">
      <c r="A54" s="41"/>
      <c r="B54" s="41"/>
      <c r="C54" s="41"/>
      <c r="D54" s="41"/>
      <c r="E54" s="41"/>
      <c r="F54" s="41"/>
    </row>
    <row r="55" customFormat="false" ht="15" hidden="false" customHeight="true" outlineLevel="0" collapsed="false">
      <c r="A55" s="41"/>
      <c r="B55" s="41"/>
      <c r="C55" s="41"/>
      <c r="D55" s="41"/>
      <c r="E55" s="41"/>
      <c r="F55" s="41"/>
    </row>
  </sheetData>
  <mergeCells count="9">
    <mergeCell ref="A9:E9"/>
    <mergeCell ref="A10:E10"/>
    <mergeCell ref="A18:E18"/>
    <mergeCell ref="A19:E19"/>
    <mergeCell ref="A26:E26"/>
    <mergeCell ref="A27:E27"/>
    <mergeCell ref="A34:F34"/>
    <mergeCell ref="A47:F47"/>
    <mergeCell ref="A53:F55"/>
  </mergeCells>
  <conditionalFormatting sqref="C11:C15">
    <cfRule type="cellIs" priority="2" operator="equal" aboveAverage="0" equalAverage="0" bottom="0" percent="0" rank="0" text="" dxfId="0">
      <formula>"Nulo cumplimiento"</formula>
    </cfRule>
    <cfRule type="cellIs" priority="3" operator="equal" aboveAverage="0" equalAverage="0" bottom="0" percent="0" rank="0" text="" dxfId="1">
      <formula>"Cumplimiento parcial"</formula>
    </cfRule>
    <cfRule type="cellIs" priority="4" operator="equal" aboveAverage="0" equalAverage="0" bottom="0" percent="0" rank="0" text="" dxfId="2">
      <formula>"Total cumplimiento"</formula>
    </cfRule>
  </conditionalFormatting>
  <conditionalFormatting sqref="C20:C23">
    <cfRule type="cellIs" priority="5" operator="equal" aboveAverage="0" equalAverage="0" bottom="0" percent="0" rank="0" text="" dxfId="0">
      <formula>"Nulo cumplimiento"</formula>
    </cfRule>
    <cfRule type="cellIs" priority="6" operator="equal" aboveAverage="0" equalAverage="0" bottom="0" percent="0" rank="0" text="" dxfId="1">
      <formula>"Cumplimiento parcial"</formula>
    </cfRule>
    <cfRule type="cellIs" priority="7" operator="equal" aboveAverage="0" equalAverage="0" bottom="0" percent="0" rank="0" text="" dxfId="2">
      <formula>"Total cumplimiento"</formula>
    </cfRule>
  </conditionalFormatting>
  <conditionalFormatting sqref="C28:C31">
    <cfRule type="cellIs" priority="8" operator="equal" aboveAverage="0" equalAverage="0" bottom="0" percent="0" rank="0" text="" dxfId="0">
      <formula>"Nulo cumplimiento"</formula>
    </cfRule>
    <cfRule type="cellIs" priority="9" operator="equal" aboveAverage="0" equalAverage="0" bottom="0" percent="0" rank="0" text="" dxfId="1">
      <formula>"Cumplimiento parcial"</formula>
    </cfRule>
    <cfRule type="cellIs" priority="10" operator="equal" aboveAverage="0" equalAverage="0" bottom="0" percent="0" rank="0" text="" dxfId="2">
      <formula>"Total cumplimiento"</formula>
    </cfRule>
  </conditionalFormatting>
  <dataValidations count="1">
    <dataValidation allowBlank="true" error="Elige un valor de la lista desplegable." errorStyle="stop" errorTitle="Valor no admitido" operator="between" showDropDown="false" showErrorMessage="false" showInputMessage="false" sqref="C11:C15 C20:C23 C28:C31" type="list">
      <formula1>"Nulo cumplimiento,Cumplimiento parcial,Total cumplimiento"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0"/>
    <col collapsed="false" customWidth="true" hidden="false" outlineLevel="0" max="3" min="2" style="0" width="14"/>
    <col collapsed="false" customWidth="true" hidden="false" outlineLevel="0" max="4" min="4" style="0" width="40"/>
  </cols>
  <sheetData>
    <row r="1" customFormat="false" ht="17.35" hidden="false" customHeight="false" outlineLevel="0" collapsed="false">
      <c r="A1" s="1" t="s">
        <v>109</v>
      </c>
    </row>
    <row r="2" customFormat="false" ht="15" hidden="false" customHeight="false" outlineLevel="0" collapsed="false">
      <c r="A2" s="42" t="s">
        <v>110</v>
      </c>
    </row>
    <row r="4" customFormat="false" ht="15" hidden="false" customHeight="false" outlineLevel="0" collapsed="false">
      <c r="A4" s="11" t="s">
        <v>111</v>
      </c>
      <c r="B4" s="10" t="s">
        <v>112</v>
      </c>
      <c r="C4" s="10" t="s">
        <v>64</v>
      </c>
    </row>
    <row r="5" customFormat="false" ht="15" hidden="false" customHeight="false" outlineLevel="0" collapsed="false">
      <c r="A5" s="26" t="s">
        <v>113</v>
      </c>
      <c r="B5" s="30" t="str">
        <f aca="false">'Examen final informe'!D51</f>
        <v>—</v>
      </c>
      <c r="C5" s="27" t="n">
        <v>0.5</v>
      </c>
    </row>
    <row r="6" customFormat="false" ht="15" hidden="false" customHeight="false" outlineLevel="0" collapsed="false">
      <c r="A6" s="26" t="s">
        <v>114</v>
      </c>
      <c r="B6" s="30" t="str">
        <f aca="false">'Examen final oral'!D41</f>
        <v>—</v>
      </c>
      <c r="C6" s="27" t="n">
        <v>0.5</v>
      </c>
    </row>
    <row r="8" customFormat="false" ht="17.35" hidden="false" customHeight="false" outlineLevel="0" collapsed="false">
      <c r="A8" s="43" t="s">
        <v>115</v>
      </c>
      <c r="B8" s="34" t="str">
        <f aca="false">IF(OR(NOT(ISNUMBER(B5)),NOT(ISNUMBER(B6))),"—",ROUND(C5*B5+C6*B6,2))</f>
        <v>—</v>
      </c>
    </row>
    <row r="9" customFormat="false" ht="15" hidden="false" customHeight="false" outlineLevel="0" collapsed="false">
      <c r="A9" s="5" t="s">
        <v>116</v>
      </c>
      <c r="B9" s="35" t="str">
        <f aca="false">IF(ISNUMBER(B8),IF(B8&gt;=5,"Supera","No supera"),"—")</f>
        <v>—</v>
      </c>
    </row>
    <row r="11" customFormat="false" ht="15" hidden="false" customHeight="true" outlineLevel="0" collapsed="false">
      <c r="A11" s="44" t="s">
        <v>117</v>
      </c>
      <c r="B11" s="44"/>
      <c r="C11" s="44"/>
      <c r="D11" s="44"/>
    </row>
    <row r="12" customFormat="false" ht="15" hidden="false" customHeight="false" outlineLevel="0" collapsed="false">
      <c r="A12" s="44"/>
      <c r="B12" s="44"/>
      <c r="C12" s="44"/>
      <c r="D12" s="44"/>
    </row>
  </sheetData>
  <mergeCells count="1">
    <mergeCell ref="A11:D1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34"/>
    <col collapsed="false" customWidth="true" hidden="false" outlineLevel="0" max="3" min="3" style="0" width="8"/>
    <col collapsed="false" customWidth="true" hidden="false" outlineLevel="0" max="7" min="4" style="0" width="30"/>
  </cols>
  <sheetData>
    <row r="1" customFormat="false" ht="16.15" hidden="false" customHeight="false" outlineLevel="0" collapsed="false">
      <c r="A1" s="45" t="s">
        <v>118</v>
      </c>
    </row>
    <row r="2" customFormat="false" ht="15" hidden="false" customHeight="false" outlineLevel="0" collapsed="false">
      <c r="A2" s="2" t="s">
        <v>119</v>
      </c>
    </row>
    <row r="4" customFormat="false" ht="15" hidden="false" customHeight="false" outlineLevel="0" collapsed="false">
      <c r="A4" s="46" t="s">
        <v>120</v>
      </c>
      <c r="B4" s="46"/>
      <c r="C4" s="46"/>
      <c r="D4" s="46"/>
      <c r="E4" s="46"/>
      <c r="F4" s="46"/>
      <c r="G4" s="46"/>
    </row>
    <row r="5" customFormat="false" ht="15" hidden="false" customHeight="false" outlineLevel="0" collapsed="false">
      <c r="A5" s="47" t="s">
        <v>63</v>
      </c>
      <c r="B5" s="47" t="s">
        <v>121</v>
      </c>
      <c r="C5" s="47" t="s">
        <v>64</v>
      </c>
      <c r="D5" s="47" t="s">
        <v>122</v>
      </c>
      <c r="E5" s="47" t="s">
        <v>123</v>
      </c>
      <c r="F5" s="47" t="s">
        <v>124</v>
      </c>
      <c r="G5" s="47" t="s">
        <v>125</v>
      </c>
    </row>
    <row r="6" customFormat="false" ht="96" hidden="false" customHeight="true" outlineLevel="0" collapsed="false">
      <c r="A6" s="48" t="s">
        <v>68</v>
      </c>
      <c r="B6" s="49" t="s">
        <v>126</v>
      </c>
      <c r="C6" s="50" t="n">
        <v>0.35</v>
      </c>
      <c r="D6" s="49" t="s">
        <v>127</v>
      </c>
      <c r="E6" s="49" t="s">
        <v>128</v>
      </c>
      <c r="F6" s="49" t="s">
        <v>129</v>
      </c>
      <c r="G6" s="49" t="s">
        <v>130</v>
      </c>
    </row>
    <row r="7" customFormat="false" ht="96" hidden="false" customHeight="true" outlineLevel="0" collapsed="false">
      <c r="A7" s="48" t="s">
        <v>69</v>
      </c>
      <c r="B7" s="49" t="s">
        <v>131</v>
      </c>
      <c r="C7" s="50" t="n">
        <v>0.25</v>
      </c>
      <c r="D7" s="49" t="s">
        <v>132</v>
      </c>
      <c r="E7" s="49" t="s">
        <v>133</v>
      </c>
      <c r="F7" s="49" t="s">
        <v>134</v>
      </c>
      <c r="G7" s="49" t="s">
        <v>135</v>
      </c>
    </row>
    <row r="8" customFormat="false" ht="96" hidden="false" customHeight="true" outlineLevel="0" collapsed="false">
      <c r="A8" s="48" t="s">
        <v>70</v>
      </c>
      <c r="B8" s="49" t="s">
        <v>136</v>
      </c>
      <c r="C8" s="50" t="n">
        <v>0.2</v>
      </c>
      <c r="D8" s="49" t="s">
        <v>137</v>
      </c>
      <c r="E8" s="49" t="s">
        <v>138</v>
      </c>
      <c r="F8" s="49" t="s">
        <v>139</v>
      </c>
      <c r="G8" s="49" t="s">
        <v>140</v>
      </c>
    </row>
    <row r="9" customFormat="false" ht="96" hidden="false" customHeight="true" outlineLevel="0" collapsed="false">
      <c r="A9" s="48" t="s">
        <v>71</v>
      </c>
      <c r="B9" s="49" t="s">
        <v>141</v>
      </c>
      <c r="C9" s="50" t="n">
        <v>0.2</v>
      </c>
      <c r="D9" s="49" t="s">
        <v>142</v>
      </c>
      <c r="E9" s="49" t="s">
        <v>143</v>
      </c>
      <c r="F9" s="49" t="s">
        <v>144</v>
      </c>
      <c r="G9" s="49" t="s">
        <v>145</v>
      </c>
    </row>
    <row r="10" customFormat="false" ht="15" hidden="false" customHeight="true" outlineLevel="0" collapsed="false">
      <c r="A10" s="41" t="s">
        <v>146</v>
      </c>
      <c r="B10" s="41"/>
      <c r="C10" s="41"/>
      <c r="D10" s="41"/>
      <c r="E10" s="41"/>
      <c r="F10" s="41"/>
      <c r="G10" s="41"/>
    </row>
    <row r="11" customFormat="false" ht="15" hidden="false" customHeight="false" outlineLevel="0" collapsed="false">
      <c r="A11" s="41"/>
      <c r="B11" s="41"/>
      <c r="C11" s="41"/>
      <c r="D11" s="41"/>
      <c r="E11" s="41"/>
      <c r="F11" s="41"/>
      <c r="G11" s="41"/>
    </row>
    <row r="13" customFormat="false" ht="15" hidden="false" customHeight="false" outlineLevel="0" collapsed="false">
      <c r="A13" s="46" t="s">
        <v>147</v>
      </c>
      <c r="B13" s="46"/>
      <c r="C13" s="46"/>
      <c r="D13" s="46"/>
      <c r="E13" s="46"/>
      <c r="F13" s="46"/>
      <c r="G13" s="46"/>
    </row>
    <row r="14" customFormat="false" ht="15" hidden="false" customHeight="false" outlineLevel="0" collapsed="false">
      <c r="A14" s="47" t="s">
        <v>63</v>
      </c>
      <c r="B14" s="47" t="s">
        <v>121</v>
      </c>
      <c r="C14" s="47" t="s">
        <v>64</v>
      </c>
      <c r="D14" s="47" t="s">
        <v>122</v>
      </c>
      <c r="E14" s="47" t="s">
        <v>123</v>
      </c>
      <c r="F14" s="47" t="s">
        <v>124</v>
      </c>
      <c r="G14" s="47" t="s">
        <v>125</v>
      </c>
    </row>
    <row r="15" customFormat="false" ht="96" hidden="false" customHeight="true" outlineLevel="0" collapsed="false">
      <c r="A15" s="48" t="s">
        <v>106</v>
      </c>
      <c r="B15" s="49" t="s">
        <v>148</v>
      </c>
      <c r="C15" s="50" t="n">
        <v>0.4</v>
      </c>
      <c r="D15" s="49" t="s">
        <v>149</v>
      </c>
      <c r="E15" s="49" t="s">
        <v>150</v>
      </c>
      <c r="F15" s="49" t="s">
        <v>151</v>
      </c>
      <c r="G15" s="49" t="s">
        <v>152</v>
      </c>
    </row>
    <row r="16" customFormat="false" ht="96" hidden="false" customHeight="true" outlineLevel="0" collapsed="false">
      <c r="A16" s="48" t="s">
        <v>107</v>
      </c>
      <c r="B16" s="49" t="s">
        <v>153</v>
      </c>
      <c r="C16" s="50" t="n">
        <v>0.35</v>
      </c>
      <c r="D16" s="49" t="s">
        <v>154</v>
      </c>
      <c r="E16" s="49" t="s">
        <v>155</v>
      </c>
      <c r="F16" s="49" t="s">
        <v>156</v>
      </c>
      <c r="G16" s="49" t="s">
        <v>157</v>
      </c>
    </row>
    <row r="17" customFormat="false" ht="96" hidden="false" customHeight="true" outlineLevel="0" collapsed="false">
      <c r="A17" s="48" t="s">
        <v>108</v>
      </c>
      <c r="B17" s="49" t="s">
        <v>158</v>
      </c>
      <c r="C17" s="50" t="n">
        <v>0.25</v>
      </c>
      <c r="D17" s="49" t="s">
        <v>159</v>
      </c>
      <c r="E17" s="49" t="s">
        <v>160</v>
      </c>
      <c r="F17" s="49" t="s">
        <v>161</v>
      </c>
      <c r="G17" s="49" t="s">
        <v>162</v>
      </c>
    </row>
    <row r="18" customFormat="false" ht="15" hidden="false" customHeight="true" outlineLevel="0" collapsed="false">
      <c r="A18" s="41" t="s">
        <v>146</v>
      </c>
      <c r="B18" s="41"/>
      <c r="C18" s="41"/>
      <c r="D18" s="41"/>
      <c r="E18" s="41"/>
      <c r="F18" s="41"/>
      <c r="G18" s="41"/>
    </row>
    <row r="19" customFormat="false" ht="15" hidden="false" customHeight="false" outlineLevel="0" collapsed="false">
      <c r="A19" s="41"/>
      <c r="B19" s="41"/>
      <c r="C19" s="41"/>
      <c r="D19" s="41"/>
      <c r="E19" s="41"/>
      <c r="F19" s="41"/>
      <c r="G19" s="41"/>
    </row>
  </sheetData>
  <mergeCells count="2">
    <mergeCell ref="A10:G11"/>
    <mergeCell ref="A18:G1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2026-09-02T11:47:45Z</dcterms:created>
  <dc:creator>openpyxl</dc:creator>
  <dc:description/>
  <dc:language>en-US</dc:language>
  <cp:lastModifiedBy/>
  <dcterms:modified xsi:type="dcterms:W3CDTF">2026-09-02T11:47:45Z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