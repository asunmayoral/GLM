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rme" sheetId="1" state="visible" r:id="rId3"/>
    <sheet name="Exposición y defensa" sheetId="2" state="visible" r:id="rId4"/>
    <sheet name="Nota del proyecto" sheetId="3" state="visible" r:id="rId5"/>
    <sheet name="Rúbricas (referencia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<sst xmlns="http://schemas.openxmlformats.org/spreadsheetml/2006/main" count="329" uniqueCount="237">
  <si>
    <t xml:space="preserve">CHECKLIST · INFORME DEL PROYECTO</t>
  </si>
  <si>
    <t xml:space="preserve">Valora cada cuestión en la columna «Valoración». Nulo cumplimiento = 0 · Cumplimiento parcial = 0,5 · Total cumplimiento = 1. Todo lo demás se calcula solo.</t>
  </si>
  <si>
    <t xml:space="preserve">Equipo:</t>
  </si>
  <si>
    <t xml:space="preserve">Fecha:</t>
  </si>
  <si>
    <t xml:space="preserve">Caso / Proyecto:</t>
  </si>
  <si>
    <t xml:space="preserve">Evaluador/a:</t>
  </si>
  <si>
    <t xml:space="preserve">NOTA DE LA PRUEBA (sobre 10) →</t>
  </si>
  <si>
    <t xml:space="preserve">Salvaguarda →</t>
  </si>
  <si>
    <t xml:space="preserve">#</t>
  </si>
  <si>
    <t xml:space="preserve">Cuestión a verificar</t>
  </si>
  <si>
    <t xml:space="preserve">Valoración</t>
  </si>
  <si>
    <t xml:space="preserve">Valor</t>
  </si>
  <si>
    <t xml:space="preserve">Observaciones / evidencia</t>
  </si>
  <si>
    <t xml:space="preserve">  CRITERIO 1 · Problema, audiencia y objetivos   —   peso 20%</t>
  </si>
  <si>
    <t xml:space="preserve">  Qué se valora: Concreción del problema, ajuste a la audiencia y objetivos, según la tipología de informe.</t>
  </si>
  <si>
    <t xml:space="preserve">1.1</t>
  </si>
  <si>
    <t xml:space="preserve">El problema está formulado de forma explícita y delimitada (no genérico ni meramente académico).</t>
  </si>
  <si>
    <t xml:space="preserve">1.2</t>
  </si>
  <si>
    <t xml:space="preserve">Se identifica la audiencia destinataria y la decisión o acción que el informe pretende apoyar.</t>
  </si>
  <si>
    <t xml:space="preserve">1.3</t>
  </si>
  <si>
    <t xml:space="preserve">Los objetivos y las preguntas analíticas están enunciados con precisión y derivan del problema.</t>
  </si>
  <si>
    <t xml:space="preserve">1.4</t>
  </si>
  <si>
    <t xml:space="preserve">El enfoque, el nivel técnico y el tono se ajustan a la tipología de informe exigida (técnico / ejecutivo / artículo).</t>
  </si>
  <si>
    <t xml:space="preserve">1.5</t>
  </si>
  <si>
    <t xml:space="preserve">Se justifica la relevancia del problema en su contexto.</t>
  </si>
  <si>
    <t xml:space="preserve">Subtotal criterio 1 · cumplimiento y puntuación →</t>
  </si>
  <si>
    <t xml:space="preserve">sobre 3</t>
  </si>
  <si>
    <t xml:space="preserve">  CRITERIO 2 · Datos, método y reproducibilidad   —   peso 20%</t>
  </si>
  <si>
    <t xml:space="preserve">  Qué se valora: Descripción de datos, elección de familia/enlace y código reproducible.</t>
  </si>
  <si>
    <t xml:space="preserve">2.1</t>
  </si>
  <si>
    <t xml:space="preserve">Se describen fuente, periodo, unidad de análisis y tamaño muestral.</t>
  </si>
  <si>
    <t xml:space="preserve">2.2</t>
  </si>
  <si>
    <t xml:space="preserve">Se describen las variables (respuesta y explicativas) con su naturaleza y escala de medida.</t>
  </si>
  <si>
    <t xml:space="preserve">2.3</t>
  </si>
  <si>
    <t xml:space="preserve">Se documenta la preparación de datos: valores perdidos, atípicos, transformaciones y criterios de inclusión/exclusión.</t>
  </si>
  <si>
    <t xml:space="preserve">2.4</t>
  </si>
  <si>
    <t xml:space="preserve">Se justifica la familia de distribución y la función enlace a partir de la naturaleza de la respuesta.</t>
  </si>
  <si>
    <t xml:space="preserve">2.5</t>
  </si>
  <si>
    <t xml:space="preserve">Se justifican las decisiones de modelización: selección de variables, interacciones y offset cuando procede.</t>
  </si>
  <si>
    <t xml:space="preserve">2.6</t>
  </si>
  <si>
    <t xml:space="preserve">El código está incluido o enlazado, se ejecuta de principio a fin sobre los datos aportados, y el entorno es trazable (versiones de R y de los paquetes, semilla fijada si hay aleatoriedad).</t>
  </si>
  <si>
    <t xml:space="preserve">Subtotal criterio 2 · cumplimiento y puntuación →</t>
  </si>
  <si>
    <t xml:space="preserve">  CRITERIO 3 · Resultados, visualización e interpretación   —   peso 20%</t>
  </si>
  <si>
    <t xml:space="preserve">  Qué se valora: Adecuación de resultados, calidad de las figuras e interpretación en la escala correcta.</t>
  </si>
  <si>
    <t xml:space="preserve">3.1</t>
  </si>
  <si>
    <t xml:space="preserve">Los resultados presentados responden a los objetivos y se organizan por pregunta analítica.</t>
  </si>
  <si>
    <t xml:space="preserve">3.2</t>
  </si>
  <si>
    <t xml:space="preserve">Cada figura y tabla tiene función clara, título o pie interpretativo, y ejes y escalas legibles.</t>
  </si>
  <si>
    <t xml:space="preserve">3.3</t>
  </si>
  <si>
    <t xml:space="preserve">Los efectos se interpretan en la escala correcta (OR, IRR, efectos marginales), no en el predictor lineal sin advertirlo.</t>
  </si>
  <si>
    <t xml:space="preserve">3.4</t>
  </si>
  <si>
    <t xml:space="preserve">Cada estimación se acompaña de su incertidumbre (IC o error estándar) y esta se interpreta.</t>
  </si>
  <si>
    <t xml:space="preserve">3.5</t>
  </si>
  <si>
    <t xml:space="preserve">Se evalúa la bondad de ajuste y se realiza diagnóstico de residuos y de supuestos.</t>
  </si>
  <si>
    <t xml:space="preserve">3.6</t>
  </si>
  <si>
    <t xml:space="preserve">Se distingue asociación de causalidad y se reconocen las limitaciones del análisis y el alcance de la generalización, con lenguaje proporcionado a la evidencia.</t>
  </si>
  <si>
    <t xml:space="preserve">Subtotal criterio 3 · cumplimiento y puntuación →</t>
  </si>
  <si>
    <t xml:space="preserve">  CRITERIO 4 · Redacción, formato y referencias (APA 7)   —   peso 30%</t>
  </si>
  <si>
    <t xml:space="preserve">  Qué se valora: Claridad de la redacción y adecuación a audiencia/informe, respeto de la plantilla estandarizada, formateado de figuras y tablas, y citas y referencias en APA 7.</t>
  </si>
  <si>
    <t xml:space="preserve">4.1</t>
  </si>
  <si>
    <t xml:space="preserve">La redacción es clara y precisa, sin errores gramaticales u ortográficos relevantes.</t>
  </si>
  <si>
    <t xml:space="preserve">4.2</t>
  </si>
  <si>
    <t xml:space="preserve">La estructura respeta la plantilla estandarizada exigida: secciones previstas y en su orden.</t>
  </si>
  <si>
    <t xml:space="preserve">4.3</t>
  </si>
  <si>
    <t xml:space="preserve">La extensión y el nivel de detalle se ajustan a lo solicitado (el detalle técnico va al anexo cuando procede).</t>
  </si>
  <si>
    <t xml:space="preserve">4.4</t>
  </si>
  <si>
    <t xml:space="preserve">Las figuras y tablas están numeradas, referidas en el texto y con formato homogéneo.</t>
  </si>
  <si>
    <t xml:space="preserve">4.5</t>
  </si>
  <si>
    <t xml:space="preserve">Las fuentes externas están citadas en el texto donde se usan: contexto, metodología, fuentes de datos y documentación técnica del software y los paquetes.</t>
  </si>
  <si>
    <t xml:space="preserve">4.6</t>
  </si>
  <si>
    <t xml:space="preserve">Las referencias siguen el formato APA 7 en la edición más reciente utilizada, y hay correspondencia completa con las citas del texto, en ambos sentidos.</t>
  </si>
  <si>
    <t xml:space="preserve">Subtotal criterio 4 · cumplimiento y puntuación →</t>
  </si>
  <si>
    <t xml:space="preserve">  CRITERIO 5 · Uso ético de la IA   —   peso 10%</t>
  </si>
  <si>
    <t xml:space="preserve">  Qué se valora: Apartado obligatorio: qué herramientas se usaron, para qué y cómo se verificaron sus respuestas.</t>
  </si>
  <si>
    <t xml:space="preserve">5.1</t>
  </si>
  <si>
    <t xml:space="preserve">Existe el apartado obligatorio sobre uso de la IA.</t>
  </si>
  <si>
    <t xml:space="preserve">5.2</t>
  </si>
  <si>
    <t xml:space="preserve">Se especifica qué herramientas se utilizaron, con su versión.</t>
  </si>
  <si>
    <t xml:space="preserve">5.3</t>
  </si>
  <si>
    <t xml:space="preserve">Se especifica para qué tareas concretas se utilizaron.</t>
  </si>
  <si>
    <t xml:space="preserve">5.4</t>
  </si>
  <si>
    <t xml:space="preserve">Se explica cómo se verificaron las respuestas obtenidas.</t>
  </si>
  <si>
    <t xml:space="preserve">5.5</t>
  </si>
  <si>
    <t xml:space="preserve">Se indica qué decisiones no se delegaron y qué límites o errores se detectaron.</t>
  </si>
  <si>
    <t xml:space="preserve">Subtotal criterio 5 · cumplimiento y puntuación →</t>
  </si>
  <si>
    <t xml:space="preserve">  RESUMEN Y CALIFICACIÓN</t>
  </si>
  <si>
    <t xml:space="preserve">Criterio</t>
  </si>
  <si>
    <t xml:space="preserve">Peso</t>
  </si>
  <si>
    <t xml:space="preserve">% cumpl.</t>
  </si>
  <si>
    <t xml:space="preserve">Punt. (0–3)</t>
  </si>
  <si>
    <t xml:space="preserve">Punt. continua</t>
  </si>
  <si>
    <t xml:space="preserve">Problema, audiencia y objetivos</t>
  </si>
  <si>
    <t xml:space="preserve">Datos, método y reproducibilidad</t>
  </si>
  <si>
    <t xml:space="preserve">Resultados, visualización e interpretación</t>
  </si>
  <si>
    <t xml:space="preserve">Redacción, formato y referencias (APA 7)</t>
  </si>
  <si>
    <t xml:space="preserve">Uso ético de la IA</t>
  </si>
  <si>
    <t xml:space="preserve">Suma de pesos:</t>
  </si>
  <si>
    <t xml:space="preserve">NOTA DE LA PRUEBA (sobre 10)</t>
  </si>
  <si>
    <t xml:space="preserve">Nota continua (referencia, sin redondear a 0–3)</t>
  </si>
  <si>
    <t xml:space="preserve">¿Supera la prueba?</t>
  </si>
  <si>
    <t xml:space="preserve">Salvaguarda uso de la IA</t>
  </si>
  <si>
    <t xml:space="preserve">  PARÁMETROS DE CONVERSIÓN · % de cumplimiento → puntuación (0–3)</t>
  </si>
  <si>
    <t xml:space="preserve">Regla</t>
  </si>
  <si>
    <t xml:space="preserve">Umbral</t>
  </si>
  <si>
    <t xml:space="preserve">Puntuación 3 · Excelente — si el cumplimiento es ≥</t>
  </si>
  <si>
    <t xml:space="preserve">Puntuación 2 · Notable — si el cumplimiento es ≥</t>
  </si>
  <si>
    <t xml:space="preserve">Puntuación 1 · Recuperable — si el cumplimiento es ≥</t>
  </si>
  <si>
    <t xml:space="preserve">Puntuación 0 · Suspenso — por debajo de ese último umbral</t>
  </si>
  <si>
    <t xml:space="preserve">Celdas en azul sobre fondo amarillo = editables (cabecera, pesos y umbrales). El resto son fórmulas: no las sobrescribas.
Criterios, pesos y descriptores proceden de Rubricas_evaluacion.xlsx. Fórmula de la nota, idéntica a la del original: Nota = (Σ pesoᵢ · puntᵢ) / 3 × 10.
Los umbrales de conversión son una propuesta, no proceden de la rúbrica original: ajústalos si tu criterio difiere.</t>
  </si>
  <si>
    <t xml:space="preserve">CHECKLIST · EXPOSICIÓN Y DEFENSA (PR)</t>
  </si>
  <si>
    <t xml:space="preserve">Rúbrica única, 50 % del proyecto grupal: exposición 40 % (criterios 1–4) + preguntas y respuestas 10 % (criterio 5). Escala por ítem: 0 · 0,5 · 1.</t>
  </si>
  <si>
    <t xml:space="preserve">Condición →</t>
  </si>
  <si>
    <t xml:space="preserve">  CRITERIO 1 · Narrativa   —   peso 25%</t>
  </si>
  <si>
    <t xml:space="preserve">  Qué se valora: Hilo entre audiencia, contexto, resultados, implicaciones y cierre.</t>
  </si>
  <si>
    <t xml:space="preserve">La apertura sitúa la audiencia y el problema antes de entrar en el análisis.</t>
  </si>
  <si>
    <t xml:space="preserve">El contexto y los objetivos se presentan de forma breve y suficiente para seguir el resto.</t>
  </si>
  <si>
    <t xml:space="preserve">Los resultados se encadenan con el problema planteado; no se enumeran sueltos.</t>
  </si>
  <si>
    <t xml:space="preserve">Se explicitan las implicaciones que se derivan de los resultados.</t>
  </si>
  <si>
    <t xml:space="preserve">Hay un cierre que recupera la pregunta inicial y responde a ella.</t>
  </si>
  <si>
    <t xml:space="preserve">1.6</t>
  </si>
  <si>
    <t xml:space="preserve">Las transiciones entre bloques son explícitas: se entiende por qué viene cada parte.</t>
  </si>
  <si>
    <t xml:space="preserve">  CRITERIO 2 · Soporte visual   —   peso 15%</t>
  </si>
  <si>
    <t xml:space="preserve">  Qué se valora: Estética y estructura de las diapositivas.</t>
  </si>
  <si>
    <t xml:space="preserve">Cada diapositiva transmite una única idea principal.</t>
  </si>
  <si>
    <t xml:space="preserve">Los títulos son interpretativos (dicen qué hay que ver), no meras etiquetas.</t>
  </si>
  <si>
    <t xml:space="preserve">La cantidad de texto por diapositiva permite escuchar y leer a la vez.</t>
  </si>
  <si>
    <t xml:space="preserve">Las figuras son legibles a distancia: tamaño, ejes rotulados, escalas y leyendas claras.</t>
  </si>
  <si>
    <t xml:space="preserve">El diseño es homogéneo y el color cumple una función, no decora.</t>
  </si>
  <si>
    <t xml:space="preserve">  CRITERIO 3 · Foco: ideas clave, resultados y justificaciones   —   peso 25%</t>
  </si>
  <si>
    <t xml:space="preserve">  Qué se valora: Selección de lo esencial y justificación correcta de resultados y decisiones.</t>
  </si>
  <si>
    <t xml:space="preserve">Se identifican explícitamente las ideas clave y no se diluyen en detalle accesorio.</t>
  </si>
  <si>
    <t xml:space="preserve">Se justifican las decisiones de modelización (familia, enlace, variables) al nivel que pide la audiencia.</t>
  </si>
  <si>
    <t xml:space="preserve">Cada resultado mostrado se interpreta, no solo se describe.</t>
  </si>
  <si>
    <t xml:space="preserve">Las magnitudes se dan en la escala interpretable del problema (OR, IRR, efectos), con su incertidumbre.</t>
  </si>
  <si>
    <t xml:space="preserve">Se comunican los límites del análisis sin desactivar el mensaje.</t>
  </si>
  <si>
    <t xml:space="preserve">El detalle técnico que no cabe se remite al informe o al anexo, en lugar de leerse en pantalla.</t>
  </si>
  <si>
    <t xml:space="preserve">  CRITERIO 4 · Desempeño   —   peso 15%</t>
  </si>
  <si>
    <t xml:space="preserve">  Qué se valora: Oralidad, gestión de los tiempos y decoro.</t>
  </si>
  <si>
    <t xml:space="preserve">La exposición es audible, con ritmo adecuado, y no se leen las diapositivas.</t>
  </si>
  <si>
    <t xml:space="preserve">Se ajusta al tiempo asignado, sin acelerar el final ni dejar bloques sin ver.</t>
  </si>
  <si>
    <t xml:space="preserve">El reparto entre los miembros del equipo es equilibrado y las transiciones están ensayadas.</t>
  </si>
  <si>
    <t xml:space="preserve">Se mantiene contacto con la audiencia y una actitud profesional.</t>
  </si>
  <si>
    <t xml:space="preserve">  CRITERIO 5 · Preguntas y Respuestas (PR)   —   peso 20%</t>
  </si>
  <si>
    <t xml:space="preserve">  Qué se valora: Corrección y justificación de la respuesta a las preguntas (1–2).</t>
  </si>
  <si>
    <t xml:space="preserve">Se entiende la pregunta antes de responder; se pide aclaración cuando hace falta.</t>
  </si>
  <si>
    <t xml:space="preserve">La respuesta es técnicamente correcta.</t>
  </si>
  <si>
    <t xml:space="preserve">La respuesta se justifica con evidencia del propio proyecto (una salida, una figura, un dato).</t>
  </si>
  <si>
    <t xml:space="preserve">Se reconocen los límites o lo que no se sabe, en lugar de improvisar.</t>
  </si>
  <si>
    <t xml:space="preserve">Responde quien corresponde y el resto del equipo complementa sin solaparse.</t>
  </si>
  <si>
    <t xml:space="preserve">Narrativa</t>
  </si>
  <si>
    <t xml:space="preserve">Soporte visual</t>
  </si>
  <si>
    <t xml:space="preserve">Foco: ideas clave, resultados y justificaciones</t>
  </si>
  <si>
    <t xml:space="preserve">Desempeño</t>
  </si>
  <si>
    <t xml:space="preserve">Preguntas y Respuestas (PR)</t>
  </si>
  <si>
    <t xml:space="preserve">Condición de superación</t>
  </si>
  <si>
    <t xml:space="preserve">Nota ≥ 3,5.</t>
  </si>
  <si>
    <t xml:space="preserve">NOTA DEL PROYECTO GRUPAL</t>
  </si>
  <si>
    <t xml:space="preserve">Las notas de informe y de exposición llegan solas de las dos hojas anteriores. Solo has de rellenar las celdas amarillas.</t>
  </si>
  <si>
    <t xml:space="preserve">  Componentes del proyecto</t>
  </si>
  <si>
    <t xml:space="preserve">Nota /10</t>
  </si>
  <si>
    <t xml:space="preserve">Informe (Inf)</t>
  </si>
  <si>
    <t xml:space="preserve">Exposición y defensa (Expo + PR)</t>
  </si>
  <si>
    <t xml:space="preserve">Base del proyecto (sin coevaluación), Gru₀ =</t>
  </si>
  <si>
    <t xml:space="preserve">Equivale a (0,5·Inf + 0,4·Expo + 0,1·PR) del organigrama: Expo y PR ya van ponderados dentro de su hoja.</t>
  </si>
  <si>
    <t xml:space="preserve">  Nota individual de cada estudiante</t>
  </si>
  <si>
    <t xml:space="preserve">Estudiante</t>
  </si>
  <si>
    <t xml:space="preserve">Co (factor w)</t>
  </si>
  <si>
    <t xml:space="preserve">Gru = Gru₀ × Co</t>
  </si>
  <si>
    <t xml:space="preserve">Ind (oral)</t>
  </si>
  <si>
    <t xml:space="preserve">EC = 0,6·Gru + 0,4·Ind</t>
  </si>
  <si>
    <t xml:space="preserve">Mínimos</t>
  </si>
  <si>
    <t xml:space="preserve">Estado</t>
  </si>
  <si>
    <t xml:space="preserve">Gru≥3,5 · Ind≥3,5 · EC≥5</t>
  </si>
  <si>
    <t xml:space="preserve">Pesos en EC · peso de Gru:</t>
  </si>
  <si>
    <t xml:space="preserve">peso de Ind:</t>
  </si>
  <si>
    <t xml:space="preserve">Co es el factor w de la hoja «Coevaluación 360» de Rubricas_evaluacion.xlsx (1,00 / 0,80 / ≤0,50 según la mediana de implicación recibida). Ind es la nota del examen oral individual del proyecto: sale del fichero Checklist_oral_estudiante.xlsx.
Requisito de la evaluación continua, según la hoja «Informe» de la rúbrica: Gru ≥ 3,5 ∧ Ind ≥ 3,5 ∧ EC ≥ 5.</t>
  </si>
  <si>
    <t xml:space="preserve">Rúbricas originales · copia literal</t>
  </si>
  <si>
    <t xml:space="preserve">Copiadas de Rubricas_evaluacion.xlsx. Sirven para contrastar la puntuación derivada del checklist con el descriptor global antes de cerrar la nota.</t>
  </si>
  <si>
    <t xml:space="preserve">  Informe</t>
  </si>
  <si>
    <t xml:space="preserve">Qué se valora</t>
  </si>
  <si>
    <t xml:space="preserve">0 · Suspenso</t>
  </si>
  <si>
    <t xml:space="preserve">1 · Recuperable</t>
  </si>
  <si>
    <t xml:space="preserve">2 · Notable</t>
  </si>
  <si>
    <t xml:space="preserve">3 · Excelente</t>
  </si>
  <si>
    <t xml:space="preserve">Concreción del problema, ajuste a la audiencia y objetivos, según la tipología de informe.</t>
  </si>
  <si>
    <t xml:space="preserve">Problema u objetivos ausentes o confusos; no atiende a la audiencia.</t>
  </si>
  <si>
    <t xml:space="preserve">Problema y objetivos esbozados, con imprecisiones o desajuste con la audiencia.</t>
  </si>
  <si>
    <t xml:space="preserve">Problema y objetivos claros y adecuados a la audiencia, con algún matiz mejorable.</t>
  </si>
  <si>
    <t xml:space="preserve">Problema bien delimitado, objetivos precisos y enfoque plenamente ajustado a la audiencia.</t>
  </si>
  <si>
    <t xml:space="preserve">Descripción de datos, elección de familia/enlace y código reproducible.</t>
  </si>
  <si>
    <t xml:space="preserve">Datos o método mal descritos; no reproducible.</t>
  </si>
  <si>
    <t xml:space="preserve">Descripción parcial; reproducibilidad limitada o con lagunas.</t>
  </si>
  <si>
    <t xml:space="preserve">Datos y método correctos y reproducibles, con detalles menores por pulir.</t>
  </si>
  <si>
    <t xml:space="preserve">Datos y método rigurosos, decisiones justificadas y pipeline plenamente reproducible.</t>
  </si>
  <si>
    <t xml:space="preserve">Adecuación de resultados, calidad de las figuras e interpretación en la escala correcta.</t>
  </si>
  <si>
    <t xml:space="preserve">Resultados erróneos o sin interpretar; visualización inadecuada.</t>
  </si>
  <si>
    <t xml:space="preserve">Resultados básicos con interpretación superficial o en escala incorrecta.</t>
  </si>
  <si>
    <t xml:space="preserve">Resultados correctos, bien visualizados e interpretados con prudencia, con algún matiz.</t>
  </si>
  <si>
    <t xml:space="preserve">Resultados sólidos, visualización excelente e interpretación precisa (OR/IRR/efectos) con incertidumbre y límites.</t>
  </si>
  <si>
    <t xml:space="preserve">Claridad de la redacción y adecuación a audiencia/informe, respeto de la plantilla estandarizada, formateado de figuras y tablas, y citas y referencias en APA 7.</t>
  </si>
  <si>
    <t xml:space="preserve">Redacción deficiente; no respeta la plantilla; figuras/tablas sin formato; sin citas APA.</t>
  </si>
  <si>
    <t xml:space="preserve">Redacción mejorable; cumple la plantilla a medias; figuras/tablas o citas con fallos frecuentes.</t>
  </si>
  <si>
    <t xml:space="preserve">Redacción clara y plantilla respetada; figuras, tablas y citas correctas con descuidos menores.</t>
  </si>
  <si>
    <t xml:space="preserve">Redacción excelente; plantilla y formato de figuras/tablas impecables; citas y referencias APA 7 sin errores.</t>
  </si>
  <si>
    <t xml:space="preserve">Apartado obligatorio: qué herramientas se usaron, para qué y cómo se verificaron sus respuestas.</t>
  </si>
  <si>
    <t xml:space="preserve">Falta el apartado obligatorio sobre uso de la IA.</t>
  </si>
  <si>
    <t xml:space="preserve">Apartado superficial; no explica cómo se usó ni cómo se verificó.</t>
  </si>
  <si>
    <t xml:space="preserve">Explica qué se usó y para qué, con una verificación somera.</t>
  </si>
  <si>
    <t xml:space="preserve">Detalla uso y verificación de la IA de forma crítica y trazable.</t>
  </si>
  <si>
    <t xml:space="preserve">Salvaguarda: sin el apartado de uso de la IA (criterio 5 = 0), el informe no puede alcanzar «excelente». Conversión: Nota = (Σ pesoᵢ·puntᵢ)/3×10. Mínimo de la prueba: Nota ≥ 3,5/10. Descriptores orientativos; ajústense al caso.</t>
  </si>
  <si>
    <t xml:space="preserve">  Exposición y defensa</t>
  </si>
  <si>
    <t xml:space="preserve">Hilo entre audiencia, contexto, resultados, implicaciones y cierre.</t>
  </si>
  <si>
    <t xml:space="preserve">Sin hilo; no conecta audiencia, contexto ni cierre.</t>
  </si>
  <si>
    <t xml:space="preserve">Hilo débil o fragmentado; faltan enlaces (p. ej. implicaciones o cierre).</t>
  </si>
  <si>
    <t xml:space="preserve">Hilo coherente que enlaza audiencia, contexto, resultados e implicaciones, con algún salto.</t>
  </si>
  <si>
    <t xml:space="preserve">Narrativa única y fluida: audiencia, contexto, resultados, implicaciones y cierre perfectamente hilados.</t>
  </si>
  <si>
    <t xml:space="preserve">Estética y estructura de las diapositivas.</t>
  </si>
  <si>
    <t xml:space="preserve">Diapositivas confusas o sobrecargadas; sin estructura.</t>
  </si>
  <si>
    <t xml:space="preserve">Estética o estructura pobres; dificultan el seguimiento.</t>
  </si>
  <si>
    <t xml:space="preserve">Diapositivas claras y bien estructuradas, con algún exceso o desajuste.</t>
  </si>
  <si>
    <t xml:space="preserve">Soporte visual excelente: estética cuidada y estructura que refuerza el mensaje.</t>
  </si>
  <si>
    <t xml:space="preserve">Selección de lo esencial y justificación correcta de resultados y decisiones.</t>
  </si>
  <si>
    <t xml:space="preserve">Se pierde en detalle o no identifica las ideas clave; sin justificar.</t>
  </si>
  <si>
    <t xml:space="preserve">Prioriza mal; resultados o justificaciones incompletos o con errores.</t>
  </si>
  <si>
    <t xml:space="preserve">Selecciona las ideas clave y justifica los resultados, con alguna laguna.</t>
  </si>
  <si>
    <t xml:space="preserve">Foco preciso en lo esencial; resultados bien presentados y justificados con rigor.</t>
  </si>
  <si>
    <t xml:space="preserve">Oralidad, gestión de los tiempos y decoro.</t>
  </si>
  <si>
    <t xml:space="preserve">Oralidad deficiente, fuera de tiempo o actitud poco profesional.</t>
  </si>
  <si>
    <t xml:space="preserve">Oralidad o gestión del tiempo mejorables; decoro justo.</t>
  </si>
  <si>
    <t xml:space="preserve">Buena oralidad, dentro del tiempo y con decoro, con desviaciones menores.</t>
  </si>
  <si>
    <t xml:space="preserve">Oralidad excelente, ajuste perfecto al tiempo y plena profesionalidad.</t>
  </si>
  <si>
    <t xml:space="preserve">Corrección y justificación de la respuesta a las preguntas (1–2).</t>
  </si>
  <si>
    <t xml:space="preserve">No responde o responde con errores graves; sin justificar.</t>
  </si>
  <si>
    <t xml:space="preserve">Responde a medias, con imprecisiones; justificación débil.</t>
  </si>
  <si>
    <t xml:space="preserve">Responde correctamente y justifica, con alguna laguna.</t>
  </si>
  <si>
    <t xml:space="preserve">Responde con solidez y justifica con evidencia del proyecto, reconociendo los límites.</t>
  </si>
  <si>
    <t xml:space="preserve">Conversión: Nota = (Σ pesoᵢ·puntᵢ)/3×10. Mínimo de la prueba: Nota ≥ 3,5/10. Descriptores orientativos; ajústense al caso.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</si>
</sst>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"/>
    <numFmt numFmtId="167" formatCode="0%"/>
    <numFmt numFmtId="168" formatCode="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5F56C4"/>
      <name val="Arial"/>
      <family val="0"/>
      <charset val="1"/>
    </font>
    <font>
      <sz val="9"/>
      <color rgb="FF5F5E5A"/>
      <name val="Arial"/>
      <family val="0"/>
      <charset val="1"/>
    </font>
    <font>
      <b val="true"/>
      <sz val="10"/>
      <color rgb="FF2C2C2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2C2C2A"/>
      <name val="Arial"/>
      <family val="0"/>
      <charset val="1"/>
    </font>
    <font>
      <b val="true"/>
      <sz val="16"/>
      <color rgb="FF5F56C4"/>
      <name val="Arial"/>
      <family val="0"/>
      <charset val="1"/>
    </font>
    <font>
      <b val="true"/>
      <sz val="10"/>
      <color rgb="FF99355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3C3489"/>
      <name val="Arial"/>
      <family val="0"/>
      <charset val="1"/>
    </font>
    <font>
      <b val="true"/>
      <sz val="9"/>
      <color rgb="FF5F5E5A"/>
      <name val="Arial"/>
      <family val="0"/>
      <charset val="1"/>
    </font>
    <font>
      <sz val="10"/>
      <color rgb="FF2C2C2A"/>
      <name val="Arial"/>
      <family val="0"/>
      <charset val="1"/>
    </font>
    <font>
      <b val="true"/>
      <sz val="10"/>
      <color rgb="FF5F56C4"/>
      <name val="Arial"/>
      <family val="0"/>
      <charset val="1"/>
    </font>
    <font>
      <b val="true"/>
      <sz val="11"/>
      <color rgb="FF5F56C4"/>
      <name val="Arial"/>
      <family val="0"/>
      <charset val="1"/>
    </font>
    <font>
      <b val="true"/>
      <sz val="12"/>
      <color rgb="FF5F56C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2C2C2A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9"/>
      <color rgb="FF2C2C2A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3"/>
      <color rgb="FF5F56C4"/>
      <name val="Arial"/>
      <family val="0"/>
      <charset val="1"/>
    </font>
    <font>
      <sz val="9"/>
      <color rgb="FF2C2C2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9D6"/>
        <bgColor rgb="FFFDF0D5"/>
      </patternFill>
    </fill>
    <fill>
      <patternFill patternType="solid">
        <fgColor rgb="FFEEEDFE"/>
        <bgColor rgb="FFDFF2E1"/>
      </patternFill>
    </fill>
    <fill>
      <patternFill patternType="solid">
        <fgColor rgb="FF5F56C4"/>
        <bgColor rgb="FF3366FF"/>
      </patternFill>
    </fill>
    <fill>
      <patternFill patternType="solid">
        <fgColor rgb="FFAFA9EC"/>
        <bgColor rgb="FFCC9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ECBF6"/>
      </left>
      <right style="thin">
        <color rgb="FFCECBF6"/>
      </right>
      <top style="thin">
        <color rgb="FFCECBF6"/>
      </top>
      <bottom style="thin">
        <color rgb="FFCECBF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2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8B2A3E"/>
        <sz val="10"/>
      </font>
      <fill>
        <patternFill>
          <bgColor rgb="FFF8D7DC"/>
        </patternFill>
      </fill>
    </dxf>
    <dxf>
      <font>
        <name val="Arial"/>
        <charset val="1"/>
        <family val="0"/>
        <b val="1"/>
        <color rgb="FF8A5A00"/>
        <sz val="10"/>
      </font>
      <fill>
        <patternFill>
          <bgColor rgb="FFFDF0D5"/>
        </patternFill>
      </fill>
    </dxf>
    <dxf>
      <font>
        <name val="Arial"/>
        <charset val="1"/>
        <family val="0"/>
        <b val="1"/>
        <color rgb="FF1F6B37"/>
        <sz val="10"/>
      </font>
      <fill>
        <patternFill>
          <bgColor rgb="FFDFF2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B37"/>
      <rgbColor rgb="FF000080"/>
      <rgbColor rgb="FF8A5A00"/>
      <rgbColor rgb="FF800080"/>
      <rgbColor rgb="FF008080"/>
      <rgbColor rgb="FFC0C0C0"/>
      <rgbColor rgb="FF5F5E5A"/>
      <rgbColor rgb="FFAFA9EC"/>
      <rgbColor rgb="FF993556"/>
      <rgbColor rgb="FFFFF9D6"/>
      <rgbColor rgb="FFEEEDFE"/>
      <rgbColor rgb="FF660066"/>
      <rgbColor rgb="FFFF8080"/>
      <rgbColor rgb="FF0066CC"/>
      <rgbColor rgb="FFCECB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2E1"/>
      <rgbColor rgb="FFFDF0D5"/>
      <rgbColor rgb="FF99CCFF"/>
      <rgbColor rgb="FFFF99CC"/>
      <rgbColor rgb="FFCC99FF"/>
      <rgbColor rgb="FFF8D7DC"/>
      <rgbColor rgb="FF3366FF"/>
      <rgbColor rgb="FF33CCCC"/>
      <rgbColor rgb="FF99CC00"/>
      <rgbColor rgb="FFFFCC00"/>
      <rgbColor rgb="FFFF9900"/>
      <rgbColor rgb="FFFF6600"/>
      <rgbColor rgb="FF5F56C4"/>
      <rgbColor rgb="FF969696"/>
      <rgbColor rgb="FF003366"/>
      <rgbColor rgb="FF339966"/>
      <rgbColor rgb="FF003300"/>
      <rgbColor rgb="FF333300"/>
      <rgbColor rgb="FF993300"/>
      <rgbColor rgb="FF8B2A3E"/>
      <rgbColor rgb="FF3C348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6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42"/>
    <col collapsed="false" customWidth="true" hidden="false" outlineLevel="0" max="6" min="6" style="0" width="14"/>
  </cols>
  <sheetData>
    <row r="1" customFormat="false" ht="21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C3" s="4"/>
      <c r="D3" s="5" t="s">
        <v>3</v>
      </c>
      <c r="E3" s="4"/>
    </row>
    <row r="4" customFormat="false" ht="15" hidden="false" customHeight="false" outlineLevel="0" collapsed="false">
      <c r="A4" s="3" t="s">
        <v>4</v>
      </c>
      <c r="C4" s="4"/>
      <c r="D4" s="5" t="s">
        <v>5</v>
      </c>
      <c r="E4" s="4"/>
    </row>
    <row r="6" customFormat="false" ht="24" hidden="false" customHeight="true" outlineLevel="0" collapsed="false">
      <c r="B6" s="6" t="s">
        <v>6</v>
      </c>
      <c r="C6" s="7" t="str">
        <f aca="false">D66</f>
        <v>—</v>
      </c>
      <c r="E6" s="8" t="str">
        <f aca="false">D68</f>
        <v>—</v>
      </c>
    </row>
    <row r="7" customFormat="false" ht="15" hidden="false" customHeight="false" outlineLevel="0" collapsed="false">
      <c r="B7" s="5" t="s">
        <v>7</v>
      </c>
      <c r="C7" s="9" t="str">
        <f aca="false">D69</f>
        <v>Sin incidencias.</v>
      </c>
    </row>
    <row r="8" customFormat="false" ht="15" hidden="false" customHeight="false" outlineLevel="0" collapsed="false">
      <c r="A8" s="10" t="s">
        <v>8</v>
      </c>
      <c r="B8" s="11" t="s">
        <v>9</v>
      </c>
      <c r="C8" s="10" t="s">
        <v>10</v>
      </c>
      <c r="D8" s="10" t="s">
        <v>11</v>
      </c>
      <c r="E8" s="10" t="s">
        <v>12</v>
      </c>
    </row>
    <row r="9" customFormat="false" ht="21.75" hidden="false" customHeight="true" outlineLevel="0" collapsed="false">
      <c r="A9" s="12" t="s">
        <v>13</v>
      </c>
      <c r="B9" s="12"/>
      <c r="C9" s="12"/>
      <c r="D9" s="12"/>
      <c r="E9" s="12"/>
    </row>
    <row r="10" customFormat="false" ht="21" hidden="false" customHeight="true" outlineLevel="0" collapsed="false">
      <c r="A10" s="13" t="s">
        <v>14</v>
      </c>
      <c r="B10" s="13"/>
      <c r="C10" s="13"/>
      <c r="D10" s="13"/>
      <c r="E10" s="13"/>
    </row>
    <row r="11" customFormat="false" ht="36" hidden="false" customHeight="true" outlineLevel="0" collapsed="false">
      <c r="A11" s="14" t="s">
        <v>15</v>
      </c>
      <c r="B11" s="15" t="s">
        <v>16</v>
      </c>
      <c r="C11" s="16"/>
      <c r="D11" s="17" t="str">
        <f aca="false">IF(C11="","",IF(C11="Total cumplimiento",1,IF(C11="Cumplimiento parcial",0.5,0)))</f>
        <v/>
      </c>
      <c r="E11" s="18"/>
    </row>
    <row r="12" customFormat="false" ht="36" hidden="false" customHeight="true" outlineLevel="0" collapsed="false">
      <c r="A12" s="14" t="s">
        <v>17</v>
      </c>
      <c r="B12" s="15" t="s">
        <v>18</v>
      </c>
      <c r="C12" s="16"/>
      <c r="D12" s="17" t="str">
        <f aca="false">IF(C12="","",IF(C12="Total cumplimiento",1,IF(C12="Cumplimiento parcial",0.5,0)))</f>
        <v/>
      </c>
      <c r="E12" s="18"/>
    </row>
    <row r="13" customFormat="false" ht="36" hidden="false" customHeight="true" outlineLevel="0" collapsed="false">
      <c r="A13" s="14" t="s">
        <v>19</v>
      </c>
      <c r="B13" s="15" t="s">
        <v>20</v>
      </c>
      <c r="C13" s="16"/>
      <c r="D13" s="17" t="str">
        <f aca="false">IF(C13="","",IF(C13="Total cumplimiento",1,IF(C13="Cumplimiento parcial",0.5,0)))</f>
        <v/>
      </c>
      <c r="E13" s="18"/>
    </row>
    <row r="14" customFormat="false" ht="36" hidden="false" customHeight="true" outlineLevel="0" collapsed="false">
      <c r="A14" s="14" t="s">
        <v>21</v>
      </c>
      <c r="B14" s="15" t="s">
        <v>22</v>
      </c>
      <c r="C14" s="16"/>
      <c r="D14" s="17" t="str">
        <f aca="false">IF(C14="","",IF(C14="Total cumplimiento",1,IF(C14="Cumplimiento parcial",0.5,0)))</f>
        <v/>
      </c>
      <c r="E14" s="18"/>
    </row>
    <row r="15" customFormat="false" ht="25.5" hidden="false" customHeight="true" outlineLevel="0" collapsed="false">
      <c r="A15" s="14" t="s">
        <v>23</v>
      </c>
      <c r="B15" s="15" t="s">
        <v>24</v>
      </c>
      <c r="C15" s="16"/>
      <c r="D15" s="17" t="str">
        <f aca="false">IF(C15="","",IF(C15="Total cumplimiento",1,IF(C15="Cumplimiento parcial",0.5,0)))</f>
        <v/>
      </c>
      <c r="E15" s="18"/>
    </row>
    <row r="16" customFormat="false" ht="15" hidden="false" customHeight="false" outlineLevel="0" collapsed="false">
      <c r="B16" s="19" t="s">
        <v>25</v>
      </c>
      <c r="C16" s="20" t="str">
        <f aca="false">IF(COUNT(D11:D15)&lt;5,"",AVERAGE(D11:D15))</f>
        <v/>
      </c>
      <c r="D16" s="21" t="str">
        <f aca="false">IF(C16="","",IF(C16&gt;=$D$74,3,IF(C16&gt;=$D$75,2,IF(C16&gt;=$D$76,1,0))))</f>
        <v/>
      </c>
      <c r="E16" s="22" t="s">
        <v>26</v>
      </c>
    </row>
    <row r="18" customFormat="false" ht="21.75" hidden="false" customHeight="true" outlineLevel="0" collapsed="false">
      <c r="A18" s="12" t="s">
        <v>27</v>
      </c>
      <c r="B18" s="12"/>
      <c r="C18" s="12"/>
      <c r="D18" s="12"/>
      <c r="E18" s="12"/>
    </row>
    <row r="19" customFormat="false" ht="21" hidden="false" customHeight="true" outlineLevel="0" collapsed="false">
      <c r="A19" s="13" t="s">
        <v>28</v>
      </c>
      <c r="B19" s="13"/>
      <c r="C19" s="13"/>
      <c r="D19" s="13"/>
      <c r="E19" s="13"/>
    </row>
    <row r="20" customFormat="false" ht="25.5" hidden="false" customHeight="true" outlineLevel="0" collapsed="false">
      <c r="A20" s="14" t="s">
        <v>29</v>
      </c>
      <c r="B20" s="15" t="s">
        <v>30</v>
      </c>
      <c r="C20" s="16"/>
      <c r="D20" s="17" t="str">
        <f aca="false">IF(C20="","",IF(C20="Total cumplimiento",1,IF(C20="Cumplimiento parcial",0.5,0)))</f>
        <v/>
      </c>
      <c r="E20" s="18"/>
    </row>
    <row r="21" customFormat="false" ht="36" hidden="false" customHeight="true" outlineLevel="0" collapsed="false">
      <c r="A21" s="14" t="s">
        <v>31</v>
      </c>
      <c r="B21" s="15" t="s">
        <v>32</v>
      </c>
      <c r="C21" s="16"/>
      <c r="D21" s="17" t="str">
        <f aca="false">IF(C21="","",IF(C21="Total cumplimiento",1,IF(C21="Cumplimiento parcial",0.5,0)))</f>
        <v/>
      </c>
      <c r="E21" s="18"/>
    </row>
    <row r="22" customFormat="false" ht="36" hidden="false" customHeight="true" outlineLevel="0" collapsed="false">
      <c r="A22" s="14" t="s">
        <v>33</v>
      </c>
      <c r="B22" s="15" t="s">
        <v>34</v>
      </c>
      <c r="C22" s="16"/>
      <c r="D22" s="17" t="str">
        <f aca="false">IF(C22="","",IF(C22="Total cumplimiento",1,IF(C22="Cumplimiento parcial",0.5,0)))</f>
        <v/>
      </c>
      <c r="E22" s="18"/>
    </row>
    <row r="23" customFormat="false" ht="36" hidden="false" customHeight="true" outlineLevel="0" collapsed="false">
      <c r="A23" s="14" t="s">
        <v>35</v>
      </c>
      <c r="B23" s="15" t="s">
        <v>36</v>
      </c>
      <c r="C23" s="16"/>
      <c r="D23" s="17" t="str">
        <f aca="false">IF(C23="","",IF(C23="Total cumplimiento",1,IF(C23="Cumplimiento parcial",0.5,0)))</f>
        <v/>
      </c>
      <c r="E23" s="18"/>
    </row>
    <row r="24" customFormat="false" ht="36" hidden="false" customHeight="true" outlineLevel="0" collapsed="false">
      <c r="A24" s="14" t="s">
        <v>37</v>
      </c>
      <c r="B24" s="15" t="s">
        <v>38</v>
      </c>
      <c r="C24" s="16"/>
      <c r="D24" s="17" t="str">
        <f aca="false">IF(C24="","",IF(C24="Total cumplimiento",1,IF(C24="Cumplimiento parcial",0.5,0)))</f>
        <v/>
      </c>
      <c r="E24" s="18"/>
    </row>
    <row r="25" customFormat="false" ht="48.75" hidden="false" customHeight="true" outlineLevel="0" collapsed="false">
      <c r="A25" s="14" t="s">
        <v>39</v>
      </c>
      <c r="B25" s="15" t="s">
        <v>40</v>
      </c>
      <c r="C25" s="16"/>
      <c r="D25" s="17" t="str">
        <f aca="false">IF(C25="","",IF(C25="Total cumplimiento",1,IF(C25="Cumplimiento parcial",0.5,0)))</f>
        <v/>
      </c>
      <c r="E25" s="18"/>
    </row>
    <row r="26" customFormat="false" ht="15" hidden="false" customHeight="false" outlineLevel="0" collapsed="false">
      <c r="B26" s="19" t="s">
        <v>41</v>
      </c>
      <c r="C26" s="20" t="str">
        <f aca="false">IF(COUNT(D20:D25)&lt;6,"",AVERAGE(D20:D25))</f>
        <v/>
      </c>
      <c r="D26" s="21" t="str">
        <f aca="false">IF(C26="","",IF(C26&gt;=$D$74,3,IF(C26&gt;=$D$75,2,IF(C26&gt;=$D$76,1,0))))</f>
        <v/>
      </c>
      <c r="E26" s="22" t="s">
        <v>26</v>
      </c>
    </row>
    <row r="28" customFormat="false" ht="21.75" hidden="false" customHeight="true" outlineLevel="0" collapsed="false">
      <c r="A28" s="12" t="s">
        <v>42</v>
      </c>
      <c r="B28" s="12"/>
      <c r="C28" s="12"/>
      <c r="D28" s="12"/>
      <c r="E28" s="12"/>
    </row>
    <row r="29" customFormat="false" ht="21" hidden="false" customHeight="true" outlineLevel="0" collapsed="false">
      <c r="A29" s="13" t="s">
        <v>43</v>
      </c>
      <c r="B29" s="13"/>
      <c r="C29" s="13"/>
      <c r="D29" s="13"/>
      <c r="E29" s="13"/>
    </row>
    <row r="30" customFormat="false" ht="36" hidden="false" customHeight="true" outlineLevel="0" collapsed="false">
      <c r="A30" s="14" t="s">
        <v>44</v>
      </c>
      <c r="B30" s="15" t="s">
        <v>45</v>
      </c>
      <c r="C30" s="16"/>
      <c r="D30" s="17" t="str">
        <f aca="false">IF(C30="","",IF(C30="Total cumplimiento",1,IF(C30="Cumplimiento parcial",0.5,0)))</f>
        <v/>
      </c>
      <c r="E30" s="18"/>
    </row>
    <row r="31" customFormat="false" ht="36" hidden="false" customHeight="true" outlineLevel="0" collapsed="false">
      <c r="A31" s="14" t="s">
        <v>46</v>
      </c>
      <c r="B31" s="15" t="s">
        <v>47</v>
      </c>
      <c r="C31" s="16"/>
      <c r="D31" s="17" t="str">
        <f aca="false">IF(C31="","",IF(C31="Total cumplimiento",1,IF(C31="Cumplimiento parcial",0.5,0)))</f>
        <v/>
      </c>
      <c r="E31" s="18"/>
    </row>
    <row r="32" customFormat="false" ht="36" hidden="false" customHeight="true" outlineLevel="0" collapsed="false">
      <c r="A32" s="14" t="s">
        <v>48</v>
      </c>
      <c r="B32" s="15" t="s">
        <v>49</v>
      </c>
      <c r="C32" s="16"/>
      <c r="D32" s="17" t="str">
        <f aca="false">IF(C32="","",IF(C32="Total cumplimiento",1,IF(C32="Cumplimiento parcial",0.5,0)))</f>
        <v/>
      </c>
      <c r="E32" s="18"/>
    </row>
    <row r="33" customFormat="false" ht="36" hidden="false" customHeight="true" outlineLevel="0" collapsed="false">
      <c r="A33" s="14" t="s">
        <v>50</v>
      </c>
      <c r="B33" s="15" t="s">
        <v>51</v>
      </c>
      <c r="C33" s="16"/>
      <c r="D33" s="17" t="str">
        <f aca="false">IF(C33="","",IF(C33="Total cumplimiento",1,IF(C33="Cumplimiento parcial",0.5,0)))</f>
        <v/>
      </c>
      <c r="E33" s="18"/>
    </row>
    <row r="34" customFormat="false" ht="25.5" hidden="false" customHeight="true" outlineLevel="0" collapsed="false">
      <c r="A34" s="14" t="s">
        <v>52</v>
      </c>
      <c r="B34" s="15" t="s">
        <v>53</v>
      </c>
      <c r="C34" s="16"/>
      <c r="D34" s="17" t="str">
        <f aca="false">IF(C34="","",IF(C34="Total cumplimiento",1,IF(C34="Cumplimiento parcial",0.5,0)))</f>
        <v/>
      </c>
      <c r="E34" s="18"/>
    </row>
    <row r="35" customFormat="false" ht="36" hidden="false" customHeight="true" outlineLevel="0" collapsed="false">
      <c r="A35" s="14" t="s">
        <v>54</v>
      </c>
      <c r="B35" s="15" t="s">
        <v>55</v>
      </c>
      <c r="C35" s="16"/>
      <c r="D35" s="17" t="str">
        <f aca="false">IF(C35="","",IF(C35="Total cumplimiento",1,IF(C35="Cumplimiento parcial",0.5,0)))</f>
        <v/>
      </c>
      <c r="E35" s="18"/>
    </row>
    <row r="36" customFormat="false" ht="15" hidden="false" customHeight="false" outlineLevel="0" collapsed="false">
      <c r="B36" s="19" t="s">
        <v>56</v>
      </c>
      <c r="C36" s="20" t="str">
        <f aca="false">IF(COUNT(D30:D35)&lt;6,"",AVERAGE(D30:D35))</f>
        <v/>
      </c>
      <c r="D36" s="21" t="str">
        <f aca="false">IF(C36="","",IF(C36&gt;=$D$74,3,IF(C36&gt;=$D$75,2,IF(C36&gt;=$D$76,1,0))))</f>
        <v/>
      </c>
      <c r="E36" s="22" t="s">
        <v>26</v>
      </c>
    </row>
    <row r="38" customFormat="false" ht="21.75" hidden="false" customHeight="true" outlineLevel="0" collapsed="false">
      <c r="A38" s="12" t="s">
        <v>57</v>
      </c>
      <c r="B38" s="12"/>
      <c r="C38" s="12"/>
      <c r="D38" s="12"/>
      <c r="E38" s="12"/>
    </row>
    <row r="39" customFormat="false" ht="36" hidden="false" customHeight="true" outlineLevel="0" collapsed="false">
      <c r="A39" s="13" t="s">
        <v>58</v>
      </c>
      <c r="B39" s="13"/>
      <c r="C39" s="13"/>
      <c r="D39" s="13"/>
      <c r="E39" s="13"/>
    </row>
    <row r="40" customFormat="false" ht="25.5" hidden="false" customHeight="true" outlineLevel="0" collapsed="false">
      <c r="A40" s="14" t="s">
        <v>59</v>
      </c>
      <c r="B40" s="15" t="s">
        <v>60</v>
      </c>
      <c r="C40" s="16"/>
      <c r="D40" s="17" t="str">
        <f aca="false">IF(C40="","",IF(C40="Total cumplimiento",1,IF(C40="Cumplimiento parcial",0.5,0)))</f>
        <v/>
      </c>
      <c r="E40" s="18"/>
    </row>
    <row r="41" customFormat="false" ht="36" hidden="false" customHeight="true" outlineLevel="0" collapsed="false">
      <c r="A41" s="14" t="s">
        <v>61</v>
      </c>
      <c r="B41" s="15" t="s">
        <v>62</v>
      </c>
      <c r="C41" s="16"/>
      <c r="D41" s="17" t="str">
        <f aca="false">IF(C41="","",IF(C41="Total cumplimiento",1,IF(C41="Cumplimiento parcial",0.5,0)))</f>
        <v/>
      </c>
      <c r="E41" s="18"/>
    </row>
    <row r="42" customFormat="false" ht="36" hidden="false" customHeight="true" outlineLevel="0" collapsed="false">
      <c r="A42" s="14" t="s">
        <v>63</v>
      </c>
      <c r="B42" s="15" t="s">
        <v>64</v>
      </c>
      <c r="C42" s="16"/>
      <c r="D42" s="17" t="str">
        <f aca="false">IF(C42="","",IF(C42="Total cumplimiento",1,IF(C42="Cumplimiento parcial",0.5,0)))</f>
        <v/>
      </c>
      <c r="E42" s="18"/>
    </row>
    <row r="43" customFormat="false" ht="25.5" hidden="false" customHeight="true" outlineLevel="0" collapsed="false">
      <c r="A43" s="14" t="s">
        <v>65</v>
      </c>
      <c r="B43" s="15" t="s">
        <v>66</v>
      </c>
      <c r="C43" s="16"/>
      <c r="D43" s="17" t="str">
        <f aca="false">IF(C43="","",IF(C43="Total cumplimiento",1,IF(C43="Cumplimiento parcial",0.5,0)))</f>
        <v/>
      </c>
      <c r="E43" s="18"/>
    </row>
    <row r="44" customFormat="false" ht="36" hidden="false" customHeight="true" outlineLevel="0" collapsed="false">
      <c r="A44" s="14" t="s">
        <v>67</v>
      </c>
      <c r="B44" s="15" t="s">
        <v>68</v>
      </c>
      <c r="C44" s="16"/>
      <c r="D44" s="17" t="str">
        <f aca="false">IF(C44="","",IF(C44="Total cumplimiento",1,IF(C44="Cumplimiento parcial",0.5,0)))</f>
        <v/>
      </c>
      <c r="E44" s="18"/>
    </row>
    <row r="45" customFormat="false" ht="36" hidden="false" customHeight="true" outlineLevel="0" collapsed="false">
      <c r="A45" s="14" t="s">
        <v>69</v>
      </c>
      <c r="B45" s="15" t="s">
        <v>70</v>
      </c>
      <c r="C45" s="16"/>
      <c r="D45" s="17" t="str">
        <f aca="false">IF(C45="","",IF(C45="Total cumplimiento",1,IF(C45="Cumplimiento parcial",0.5,0)))</f>
        <v/>
      </c>
      <c r="E45" s="18"/>
    </row>
    <row r="46" customFormat="false" ht="15" hidden="false" customHeight="false" outlineLevel="0" collapsed="false">
      <c r="B46" s="19" t="s">
        <v>71</v>
      </c>
      <c r="C46" s="20" t="str">
        <f aca="false">IF(COUNT(D40:D45)&lt;6,"",AVERAGE(D40:D45))</f>
        <v/>
      </c>
      <c r="D46" s="21" t="str">
        <f aca="false">IF(C46="","",IF(C46&gt;=$D$74,3,IF(C46&gt;=$D$75,2,IF(C46&gt;=$D$76,1,0))))</f>
        <v/>
      </c>
      <c r="E46" s="22" t="s">
        <v>26</v>
      </c>
    </row>
    <row r="48" customFormat="false" ht="21.75" hidden="false" customHeight="true" outlineLevel="0" collapsed="false">
      <c r="A48" s="12" t="s">
        <v>72</v>
      </c>
      <c r="B48" s="12"/>
      <c r="C48" s="12"/>
      <c r="D48" s="12"/>
      <c r="E48" s="12"/>
    </row>
    <row r="49" customFormat="false" ht="21" hidden="false" customHeight="true" outlineLevel="0" collapsed="false">
      <c r="A49" s="13" t="s">
        <v>73</v>
      </c>
      <c r="B49" s="13"/>
      <c r="C49" s="13"/>
      <c r="D49" s="13"/>
      <c r="E49" s="13"/>
    </row>
    <row r="50" customFormat="false" ht="25.5" hidden="false" customHeight="true" outlineLevel="0" collapsed="false">
      <c r="A50" s="14" t="s">
        <v>74</v>
      </c>
      <c r="B50" s="15" t="s">
        <v>75</v>
      </c>
      <c r="C50" s="16"/>
      <c r="D50" s="17" t="str">
        <f aca="false">IF(C50="","",IF(C50="Total cumplimiento",1,IF(C50="Cumplimiento parcial",0.5,0)))</f>
        <v/>
      </c>
      <c r="E50" s="18"/>
    </row>
    <row r="51" customFormat="false" ht="25.5" hidden="false" customHeight="true" outlineLevel="0" collapsed="false">
      <c r="A51" s="14" t="s">
        <v>76</v>
      </c>
      <c r="B51" s="15" t="s">
        <v>77</v>
      </c>
      <c r="C51" s="16"/>
      <c r="D51" s="17" t="str">
        <f aca="false">IF(C51="","",IF(C51="Total cumplimiento",1,IF(C51="Cumplimiento parcial",0.5,0)))</f>
        <v/>
      </c>
      <c r="E51" s="18"/>
    </row>
    <row r="52" customFormat="false" ht="25.5" hidden="false" customHeight="true" outlineLevel="0" collapsed="false">
      <c r="A52" s="14" t="s">
        <v>78</v>
      </c>
      <c r="B52" s="15" t="s">
        <v>79</v>
      </c>
      <c r="C52" s="16"/>
      <c r="D52" s="17" t="str">
        <f aca="false">IF(C52="","",IF(C52="Total cumplimiento",1,IF(C52="Cumplimiento parcial",0.5,0)))</f>
        <v/>
      </c>
      <c r="E52" s="18"/>
    </row>
    <row r="53" customFormat="false" ht="25.5" hidden="false" customHeight="true" outlineLevel="0" collapsed="false">
      <c r="A53" s="14" t="s">
        <v>80</v>
      </c>
      <c r="B53" s="15" t="s">
        <v>81</v>
      </c>
      <c r="C53" s="16"/>
      <c r="D53" s="17" t="str">
        <f aca="false">IF(C53="","",IF(C53="Total cumplimiento",1,IF(C53="Cumplimiento parcial",0.5,0)))</f>
        <v/>
      </c>
      <c r="E53" s="18"/>
    </row>
    <row r="54" customFormat="false" ht="25.5" hidden="false" customHeight="true" outlineLevel="0" collapsed="false">
      <c r="A54" s="14" t="s">
        <v>82</v>
      </c>
      <c r="B54" s="15" t="s">
        <v>83</v>
      </c>
      <c r="C54" s="16"/>
      <c r="D54" s="17" t="str">
        <f aca="false">IF(C54="","",IF(C54="Total cumplimiento",1,IF(C54="Cumplimiento parcial",0.5,0)))</f>
        <v/>
      </c>
      <c r="E54" s="18"/>
    </row>
    <row r="55" customFormat="false" ht="15" hidden="false" customHeight="false" outlineLevel="0" collapsed="false">
      <c r="B55" s="19" t="s">
        <v>84</v>
      </c>
      <c r="C55" s="20" t="str">
        <f aca="false">IF(COUNT(D50:D54)&lt;5,"",AVERAGE(D50:D54))</f>
        <v/>
      </c>
      <c r="D55" s="21" t="str">
        <f aca="false">IF(C55="","",IF(C55&gt;=$D$74,3,IF(C55&gt;=$D$75,2,IF(C55&gt;=$D$76,1,0))))</f>
        <v/>
      </c>
      <c r="E55" s="22" t="s">
        <v>26</v>
      </c>
    </row>
    <row r="57" customFormat="false" ht="24" hidden="false" customHeight="true" outlineLevel="0" collapsed="false">
      <c r="A57" s="23" t="s">
        <v>85</v>
      </c>
      <c r="B57" s="23"/>
      <c r="C57" s="23"/>
      <c r="D57" s="23"/>
      <c r="E57" s="23"/>
      <c r="F57" s="23"/>
    </row>
    <row r="58" customFormat="false" ht="15" hidden="false" customHeight="false" outlineLevel="0" collapsed="false">
      <c r="A58" s="24" t="s">
        <v>8</v>
      </c>
      <c r="B58" s="25" t="s">
        <v>86</v>
      </c>
      <c r="C58" s="24" t="s">
        <v>87</v>
      </c>
      <c r="D58" s="24" t="s">
        <v>88</v>
      </c>
      <c r="E58" s="24" t="s">
        <v>89</v>
      </c>
      <c r="F58" s="24" t="s">
        <v>90</v>
      </c>
    </row>
    <row r="59" customFormat="false" ht="15" hidden="false" customHeight="false" outlineLevel="0" collapsed="false">
      <c r="A59" s="14" t="n">
        <v>1</v>
      </c>
      <c r="B59" s="26" t="s">
        <v>91</v>
      </c>
      <c r="C59" s="27" t="n">
        <v>0.2</v>
      </c>
      <c r="D59" s="28" t="str">
        <f aca="false">C16</f>
        <v/>
      </c>
      <c r="E59" s="29" t="str">
        <f aca="false">D16</f>
        <v/>
      </c>
      <c r="F59" s="30" t="str">
        <f aca="false">IF(D59="","",ROUND(D59*3,2))</f>
        <v/>
      </c>
    </row>
    <row r="60" customFormat="false" ht="15" hidden="false" customHeight="false" outlineLevel="0" collapsed="false">
      <c r="A60" s="14" t="n">
        <v>2</v>
      </c>
      <c r="B60" s="26" t="s">
        <v>92</v>
      </c>
      <c r="C60" s="27" t="n">
        <v>0.2</v>
      </c>
      <c r="D60" s="28" t="str">
        <f aca="false">C26</f>
        <v/>
      </c>
      <c r="E60" s="29" t="str">
        <f aca="false">D26</f>
        <v/>
      </c>
      <c r="F60" s="30" t="str">
        <f aca="false">IF(D60="","",ROUND(D60*3,2))</f>
        <v/>
      </c>
    </row>
    <row r="61" customFormat="false" ht="15" hidden="false" customHeight="false" outlineLevel="0" collapsed="false">
      <c r="A61" s="14" t="n">
        <v>3</v>
      </c>
      <c r="B61" s="26" t="s">
        <v>93</v>
      </c>
      <c r="C61" s="27" t="n">
        <v>0.2</v>
      </c>
      <c r="D61" s="28" t="str">
        <f aca="false">C36</f>
        <v/>
      </c>
      <c r="E61" s="29" t="str">
        <f aca="false">D36</f>
        <v/>
      </c>
      <c r="F61" s="30" t="str">
        <f aca="false">IF(D61="","",ROUND(D61*3,2))</f>
        <v/>
      </c>
    </row>
    <row r="62" customFormat="false" ht="15" hidden="false" customHeight="false" outlineLevel="0" collapsed="false">
      <c r="A62" s="14" t="n">
        <v>4</v>
      </c>
      <c r="B62" s="26" t="s">
        <v>94</v>
      </c>
      <c r="C62" s="27" t="n">
        <v>0.3</v>
      </c>
      <c r="D62" s="28" t="str">
        <f aca="false">C46</f>
        <v/>
      </c>
      <c r="E62" s="29" t="str">
        <f aca="false">D46</f>
        <v/>
      </c>
      <c r="F62" s="30" t="str">
        <f aca="false">IF(D62="","",ROUND(D62*3,2))</f>
        <v/>
      </c>
    </row>
    <row r="63" customFormat="false" ht="15" hidden="false" customHeight="false" outlineLevel="0" collapsed="false">
      <c r="A63" s="14" t="n">
        <v>5</v>
      </c>
      <c r="B63" s="26" t="s">
        <v>95</v>
      </c>
      <c r="C63" s="27" t="n">
        <v>0.1</v>
      </c>
      <c r="D63" s="28" t="str">
        <f aca="false">C55</f>
        <v/>
      </c>
      <c r="E63" s="29" t="str">
        <f aca="false">D55</f>
        <v/>
      </c>
      <c r="F63" s="30" t="str">
        <f aca="false">IF(D63="","",ROUND(D63*3,2))</f>
        <v/>
      </c>
    </row>
    <row r="64" customFormat="false" ht="15" hidden="false" customHeight="false" outlineLevel="0" collapsed="false">
      <c r="C64" s="31" t="s">
        <v>96</v>
      </c>
      <c r="D64" s="32" t="n">
        <f aca="false">SUM(C59:C63)</f>
        <v>1</v>
      </c>
    </row>
    <row r="66" customFormat="false" ht="17.35" hidden="false" customHeight="false" outlineLevel="0" collapsed="false">
      <c r="B66" s="33" t="s">
        <v>97</v>
      </c>
      <c r="D66" s="34" t="str">
        <f aca="false">IF(COUNT(E59:E63)&lt;5,"—",ROUND(SUMPRODUCT(C59:C63,E59:E63)/3*10,2))</f>
        <v>—</v>
      </c>
    </row>
    <row r="67" customFormat="false" ht="15" hidden="false" customHeight="false" outlineLevel="0" collapsed="false">
      <c r="B67" s="5" t="s">
        <v>98</v>
      </c>
      <c r="D67" s="30" t="str">
        <f aca="false">IF(COUNT(F59:F63)&lt;5,"—",ROUND(SUMPRODUCT(C59:C63,F59:F63)/3*10,2))</f>
        <v>—</v>
      </c>
    </row>
    <row r="68" customFormat="false" ht="15" hidden="false" customHeight="false" outlineLevel="0" collapsed="false">
      <c r="B68" s="5" t="s">
        <v>99</v>
      </c>
      <c r="D68" s="35" t="str">
        <f aca="false">IF(ISNUMBER(D66),IF(D66&gt;=3.5,"Supera","No supera"),"—")</f>
        <v>—</v>
      </c>
    </row>
    <row r="69" customFormat="false" ht="15" hidden="false" customHeight="false" outlineLevel="0" collapsed="false">
      <c r="B69" s="36" t="s">
        <v>100</v>
      </c>
      <c r="D69" s="9" t="str">
        <f aca="false">IF(AND(ISNUMBER(E63),E63=0),"⚠ Criterio 5 = 0: falta la declaración de uso de la IA. El informe NO puede calificarse como Excelente (9–10).","Sin incidencias.")</f>
        <v>Sin incidencias.</v>
      </c>
    </row>
    <row r="72" customFormat="false" ht="15" hidden="false" customHeight="false" outlineLevel="0" collapsed="false">
      <c r="A72" s="37" t="s">
        <v>101</v>
      </c>
      <c r="B72" s="37"/>
      <c r="C72" s="37"/>
      <c r="D72" s="37"/>
      <c r="E72" s="37"/>
      <c r="F72" s="37"/>
    </row>
    <row r="73" customFormat="false" ht="15" hidden="false" customHeight="false" outlineLevel="0" collapsed="false">
      <c r="A73" s="24"/>
      <c r="B73" s="38" t="s">
        <v>102</v>
      </c>
      <c r="C73" s="24"/>
      <c r="D73" s="24" t="s">
        <v>103</v>
      </c>
      <c r="E73" s="24"/>
      <c r="F73" s="24"/>
    </row>
    <row r="74" customFormat="false" ht="15" hidden="false" customHeight="false" outlineLevel="0" collapsed="false">
      <c r="A74" s="26"/>
      <c r="B74" s="39" t="s">
        <v>104</v>
      </c>
      <c r="C74" s="26"/>
      <c r="D74" s="40" t="n">
        <v>0.85</v>
      </c>
    </row>
    <row r="75" customFormat="false" ht="15" hidden="false" customHeight="false" outlineLevel="0" collapsed="false">
      <c r="A75" s="26"/>
      <c r="B75" s="39" t="s">
        <v>105</v>
      </c>
      <c r="C75" s="26"/>
      <c r="D75" s="40" t="n">
        <v>0.65</v>
      </c>
    </row>
    <row r="76" customFormat="false" ht="15" hidden="false" customHeight="false" outlineLevel="0" collapsed="false">
      <c r="A76" s="26"/>
      <c r="B76" s="39" t="s">
        <v>106</v>
      </c>
      <c r="C76" s="26"/>
      <c r="D76" s="40" t="n">
        <v>0.4</v>
      </c>
    </row>
    <row r="77" customFormat="false" ht="15" hidden="false" customHeight="false" outlineLevel="0" collapsed="false">
      <c r="A77" s="26"/>
      <c r="B77" s="39" t="s">
        <v>107</v>
      </c>
      <c r="C77" s="26"/>
      <c r="D77" s="40"/>
    </row>
    <row r="78" customFormat="false" ht="15" hidden="false" customHeight="true" outlineLevel="0" collapsed="false">
      <c r="A78" s="41" t="s">
        <v>108</v>
      </c>
      <c r="B78" s="41"/>
      <c r="C78" s="41"/>
      <c r="D78" s="41"/>
      <c r="E78" s="41"/>
      <c r="F78" s="41"/>
    </row>
    <row r="79" customFormat="false" ht="15" hidden="false" customHeight="true" outlineLevel="0" collapsed="false">
      <c r="A79" s="41"/>
      <c r="B79" s="41"/>
      <c r="C79" s="41"/>
      <c r="D79" s="41"/>
      <c r="E79" s="41"/>
      <c r="F79" s="41"/>
    </row>
    <row r="80" customFormat="false" ht="15" hidden="false" customHeight="true" outlineLevel="0" collapsed="false">
      <c r="A80" s="41"/>
      <c r="B80" s="41"/>
      <c r="C80" s="41"/>
      <c r="D80" s="41"/>
      <c r="E80" s="41"/>
      <c r="F80" s="41"/>
    </row>
  </sheetData>
  <mergeCells count="13">
    <mergeCell ref="A9:E9"/>
    <mergeCell ref="A10:E10"/>
    <mergeCell ref="A18:E18"/>
    <mergeCell ref="A19:E19"/>
    <mergeCell ref="A28:E28"/>
    <mergeCell ref="A29:E29"/>
    <mergeCell ref="A38:E38"/>
    <mergeCell ref="A39:E39"/>
    <mergeCell ref="A48:E48"/>
    <mergeCell ref="A49:E49"/>
    <mergeCell ref="A57:F57"/>
    <mergeCell ref="A72:F72"/>
    <mergeCell ref="A78:F80"/>
  </mergeCells>
  <conditionalFormatting sqref="C11:C15">
    <cfRule type="cellIs" priority="2" operator="equal" aboveAverage="0" equalAverage="0" bottom="0" percent="0" rank="0" text="" dxfId="0">
      <formula>"Nulo cumplimiento"</formula>
    </cfRule>
    <cfRule type="cellIs" priority="3" operator="equal" aboveAverage="0" equalAverage="0" bottom="0" percent="0" rank="0" text="" dxfId="1">
      <formula>"Cumplimiento parcial"</formula>
    </cfRule>
    <cfRule type="cellIs" priority="4" operator="equal" aboveAverage="0" equalAverage="0" bottom="0" percent="0" rank="0" text="" dxfId="2">
      <formula>"Total cumplimiento"</formula>
    </cfRule>
  </conditionalFormatting>
  <conditionalFormatting sqref="C20:C25">
    <cfRule type="cellIs" priority="5" operator="equal" aboveAverage="0" equalAverage="0" bottom="0" percent="0" rank="0" text="" dxfId="0">
      <formula>"Nulo cumplimiento"</formula>
    </cfRule>
    <cfRule type="cellIs" priority="6" operator="equal" aboveAverage="0" equalAverage="0" bottom="0" percent="0" rank="0" text="" dxfId="1">
      <formula>"Cumplimiento parcial"</formula>
    </cfRule>
    <cfRule type="cellIs" priority="7" operator="equal" aboveAverage="0" equalAverage="0" bottom="0" percent="0" rank="0" text="" dxfId="2">
      <formula>"Total cumplimiento"</formula>
    </cfRule>
  </conditionalFormatting>
  <conditionalFormatting sqref="C30:C35">
    <cfRule type="cellIs" priority="8" operator="equal" aboveAverage="0" equalAverage="0" bottom="0" percent="0" rank="0" text="" dxfId="0">
      <formula>"Nulo cumplimiento"</formula>
    </cfRule>
    <cfRule type="cellIs" priority="9" operator="equal" aboveAverage="0" equalAverage="0" bottom="0" percent="0" rank="0" text="" dxfId="1">
      <formula>"Cumplimiento parcial"</formula>
    </cfRule>
    <cfRule type="cellIs" priority="10" operator="equal" aboveAverage="0" equalAverage="0" bottom="0" percent="0" rank="0" text="" dxfId="2">
      <formula>"Total cumplimiento"</formula>
    </cfRule>
  </conditionalFormatting>
  <conditionalFormatting sqref="C40:C45">
    <cfRule type="cellIs" priority="11" operator="equal" aboveAverage="0" equalAverage="0" bottom="0" percent="0" rank="0" text="" dxfId="0">
      <formula>"Nulo cumplimiento"</formula>
    </cfRule>
    <cfRule type="cellIs" priority="12" operator="equal" aboveAverage="0" equalAverage="0" bottom="0" percent="0" rank="0" text="" dxfId="1">
      <formula>"Cumplimiento parcial"</formula>
    </cfRule>
    <cfRule type="cellIs" priority="13" operator="equal" aboveAverage="0" equalAverage="0" bottom="0" percent="0" rank="0" text="" dxfId="2">
      <formula>"Total cumplimiento"</formula>
    </cfRule>
  </conditionalFormatting>
  <conditionalFormatting sqref="C50:C54">
    <cfRule type="cellIs" priority="14" operator="equal" aboveAverage="0" equalAverage="0" bottom="0" percent="0" rank="0" text="" dxfId="0">
      <formula>"Nulo cumplimiento"</formula>
    </cfRule>
    <cfRule type="cellIs" priority="15" operator="equal" aboveAverage="0" equalAverage="0" bottom="0" percent="0" rank="0" text="" dxfId="1">
      <formula>"Cumplimiento parcial"</formula>
    </cfRule>
    <cfRule type="cellIs" priority="16" operator="equal" aboveAverage="0" equalAverage="0" bottom="0" percent="0" rank="0" text="" dxfId="2">
      <formula>"Total cumplimiento"</formula>
    </cfRule>
  </conditionalFormatting>
  <dataValidations count="1">
    <dataValidation allowBlank="true" error="Elige un valor de la lista desplegable." errorStyle="stop" errorTitle="Valor no admitido" operator="between" showDropDown="false" showErrorMessage="false" showInputMessage="false" sqref="C11:C15 C20:C25 C30:C35 C40:C45 C50:C54" type="list">
      <formula1>"Nulo cumplimiento,Cumplimiento parcial,Total cumplimiento"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6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42"/>
    <col collapsed="false" customWidth="true" hidden="false" outlineLevel="0" max="6" min="6" style="0" width="14"/>
  </cols>
  <sheetData>
    <row r="1" customFormat="false" ht="21.75" hidden="false" customHeight="true" outlineLevel="0" collapsed="false">
      <c r="A1" s="1" t="s">
        <v>109</v>
      </c>
    </row>
    <row r="2" customFormat="false" ht="15" hidden="false" customHeight="false" outlineLevel="0" collapsed="false">
      <c r="A2" s="2" t="s">
        <v>110</v>
      </c>
    </row>
    <row r="3" customFormat="false" ht="15" hidden="false" customHeight="false" outlineLevel="0" collapsed="false">
      <c r="A3" s="3" t="s">
        <v>2</v>
      </c>
      <c r="C3" s="4"/>
      <c r="D3" s="5" t="s">
        <v>3</v>
      </c>
      <c r="E3" s="4"/>
    </row>
    <row r="4" customFormat="false" ht="15" hidden="false" customHeight="false" outlineLevel="0" collapsed="false">
      <c r="A4" s="3" t="s">
        <v>4</v>
      </c>
      <c r="C4" s="4"/>
      <c r="D4" s="5" t="s">
        <v>5</v>
      </c>
      <c r="E4" s="4"/>
    </row>
    <row r="6" customFormat="false" ht="24" hidden="false" customHeight="true" outlineLevel="0" collapsed="false">
      <c r="B6" s="6" t="s">
        <v>6</v>
      </c>
      <c r="C6" s="7" t="str">
        <f aca="false">D64</f>
        <v>—</v>
      </c>
      <c r="E6" s="8" t="str">
        <f aca="false">D66</f>
        <v>—</v>
      </c>
    </row>
    <row r="7" customFormat="false" ht="15" hidden="false" customHeight="false" outlineLevel="0" collapsed="false">
      <c r="B7" s="5" t="s">
        <v>111</v>
      </c>
      <c r="C7" s="9" t="str">
        <f aca="false">D67</f>
        <v>Nota ≥ 3,5.</v>
      </c>
    </row>
    <row r="8" customFormat="false" ht="15" hidden="false" customHeight="false" outlineLevel="0" collapsed="false">
      <c r="A8" s="10" t="s">
        <v>8</v>
      </c>
      <c r="B8" s="11" t="s">
        <v>9</v>
      </c>
      <c r="C8" s="10" t="s">
        <v>10</v>
      </c>
      <c r="D8" s="10" t="s">
        <v>11</v>
      </c>
      <c r="E8" s="10" t="s">
        <v>12</v>
      </c>
    </row>
    <row r="9" customFormat="false" ht="21.75" hidden="false" customHeight="true" outlineLevel="0" collapsed="false">
      <c r="A9" s="12" t="s">
        <v>112</v>
      </c>
      <c r="B9" s="12"/>
      <c r="C9" s="12"/>
      <c r="D9" s="12"/>
      <c r="E9" s="12"/>
    </row>
    <row r="10" customFormat="false" ht="21" hidden="false" customHeight="true" outlineLevel="0" collapsed="false">
      <c r="A10" s="13" t="s">
        <v>113</v>
      </c>
      <c r="B10" s="13"/>
      <c r="C10" s="13"/>
      <c r="D10" s="13"/>
      <c r="E10" s="13"/>
    </row>
    <row r="11" customFormat="false" ht="25.5" hidden="false" customHeight="true" outlineLevel="0" collapsed="false">
      <c r="A11" s="14" t="s">
        <v>15</v>
      </c>
      <c r="B11" s="15" t="s">
        <v>114</v>
      </c>
      <c r="C11" s="16"/>
      <c r="D11" s="17" t="str">
        <f aca="false">IF(C11="","",IF(C11="Total cumplimiento",1,IF(C11="Cumplimiento parcial",0.5,0)))</f>
        <v/>
      </c>
      <c r="E11" s="18"/>
    </row>
    <row r="12" customFormat="false" ht="36" hidden="false" customHeight="true" outlineLevel="0" collapsed="false">
      <c r="A12" s="14" t="s">
        <v>17</v>
      </c>
      <c r="B12" s="15" t="s">
        <v>115</v>
      </c>
      <c r="C12" s="16"/>
      <c r="D12" s="17" t="str">
        <f aca="false">IF(C12="","",IF(C12="Total cumplimiento",1,IF(C12="Cumplimiento parcial",0.5,0)))</f>
        <v/>
      </c>
      <c r="E12" s="18"/>
    </row>
    <row r="13" customFormat="false" ht="25.5" hidden="false" customHeight="true" outlineLevel="0" collapsed="false">
      <c r="A13" s="14" t="s">
        <v>19</v>
      </c>
      <c r="B13" s="15" t="s">
        <v>116</v>
      </c>
      <c r="C13" s="16"/>
      <c r="D13" s="17" t="str">
        <f aca="false">IF(C13="","",IF(C13="Total cumplimiento",1,IF(C13="Cumplimiento parcial",0.5,0)))</f>
        <v/>
      </c>
      <c r="E13" s="18"/>
    </row>
    <row r="14" customFormat="false" ht="25.5" hidden="false" customHeight="true" outlineLevel="0" collapsed="false">
      <c r="A14" s="14" t="s">
        <v>21</v>
      </c>
      <c r="B14" s="15" t="s">
        <v>117</v>
      </c>
      <c r="C14" s="16"/>
      <c r="D14" s="17" t="str">
        <f aca="false">IF(C14="","",IF(C14="Total cumplimiento",1,IF(C14="Cumplimiento parcial",0.5,0)))</f>
        <v/>
      </c>
      <c r="E14" s="18"/>
    </row>
    <row r="15" customFormat="false" ht="25.5" hidden="false" customHeight="true" outlineLevel="0" collapsed="false">
      <c r="A15" s="14" t="s">
        <v>23</v>
      </c>
      <c r="B15" s="15" t="s">
        <v>118</v>
      </c>
      <c r="C15" s="16"/>
      <c r="D15" s="17" t="str">
        <f aca="false">IF(C15="","",IF(C15="Total cumplimiento",1,IF(C15="Cumplimiento parcial",0.5,0)))</f>
        <v/>
      </c>
      <c r="E15" s="18"/>
    </row>
    <row r="16" customFormat="false" ht="25.5" hidden="false" customHeight="true" outlineLevel="0" collapsed="false">
      <c r="A16" s="14" t="s">
        <v>119</v>
      </c>
      <c r="B16" s="15" t="s">
        <v>120</v>
      </c>
      <c r="C16" s="16"/>
      <c r="D16" s="17" t="str">
        <f aca="false">IF(C16="","",IF(C16="Total cumplimiento",1,IF(C16="Cumplimiento parcial",0.5,0)))</f>
        <v/>
      </c>
      <c r="E16" s="18"/>
    </row>
    <row r="17" customFormat="false" ht="15" hidden="false" customHeight="false" outlineLevel="0" collapsed="false">
      <c r="B17" s="19" t="s">
        <v>25</v>
      </c>
      <c r="C17" s="20" t="str">
        <f aca="false">IF(COUNT(D11:D16)&lt;6,"",AVERAGE(D11:D16))</f>
        <v/>
      </c>
      <c r="D17" s="21" t="str">
        <f aca="false">IF(C17="","",IF(C17&gt;=$D$72,3,IF(C17&gt;=$D$73,2,IF(C17&gt;=$D$74,1,0))))</f>
        <v/>
      </c>
      <c r="E17" s="22" t="s">
        <v>26</v>
      </c>
    </row>
    <row r="19" customFormat="false" ht="21.75" hidden="false" customHeight="true" outlineLevel="0" collapsed="false">
      <c r="A19" s="12" t="s">
        <v>121</v>
      </c>
      <c r="B19" s="12"/>
      <c r="C19" s="12"/>
      <c r="D19" s="12"/>
      <c r="E19" s="12"/>
    </row>
    <row r="20" customFormat="false" ht="21" hidden="false" customHeight="true" outlineLevel="0" collapsed="false">
      <c r="A20" s="13" t="s">
        <v>122</v>
      </c>
      <c r="B20" s="13"/>
      <c r="C20" s="13"/>
      <c r="D20" s="13"/>
      <c r="E20" s="13"/>
    </row>
    <row r="21" customFormat="false" ht="25.5" hidden="false" customHeight="true" outlineLevel="0" collapsed="false">
      <c r="A21" s="14" t="s">
        <v>29</v>
      </c>
      <c r="B21" s="15" t="s">
        <v>123</v>
      </c>
      <c r="C21" s="16"/>
      <c r="D21" s="17" t="str">
        <f aca="false">IF(C21="","",IF(C21="Total cumplimiento",1,IF(C21="Cumplimiento parcial",0.5,0)))</f>
        <v/>
      </c>
      <c r="E21" s="18"/>
    </row>
    <row r="22" customFormat="false" ht="25.5" hidden="false" customHeight="true" outlineLevel="0" collapsed="false">
      <c r="A22" s="14" t="s">
        <v>31</v>
      </c>
      <c r="B22" s="15" t="s">
        <v>124</v>
      </c>
      <c r="C22" s="16"/>
      <c r="D22" s="17" t="str">
        <f aca="false">IF(C22="","",IF(C22="Total cumplimiento",1,IF(C22="Cumplimiento parcial",0.5,0)))</f>
        <v/>
      </c>
      <c r="E22" s="18"/>
    </row>
    <row r="23" customFormat="false" ht="25.5" hidden="false" customHeight="true" outlineLevel="0" collapsed="false">
      <c r="A23" s="14" t="s">
        <v>33</v>
      </c>
      <c r="B23" s="15" t="s">
        <v>125</v>
      </c>
      <c r="C23" s="16"/>
      <c r="D23" s="17" t="str">
        <f aca="false">IF(C23="","",IF(C23="Total cumplimiento",1,IF(C23="Cumplimiento parcial",0.5,0)))</f>
        <v/>
      </c>
      <c r="E23" s="18"/>
    </row>
    <row r="24" customFormat="false" ht="25.5" hidden="false" customHeight="true" outlineLevel="0" collapsed="false">
      <c r="A24" s="14" t="s">
        <v>35</v>
      </c>
      <c r="B24" s="15" t="s">
        <v>126</v>
      </c>
      <c r="C24" s="16"/>
      <c r="D24" s="17" t="str">
        <f aca="false">IF(C24="","",IF(C24="Total cumplimiento",1,IF(C24="Cumplimiento parcial",0.5,0)))</f>
        <v/>
      </c>
      <c r="E24" s="18"/>
    </row>
    <row r="25" customFormat="false" ht="25.5" hidden="false" customHeight="true" outlineLevel="0" collapsed="false">
      <c r="A25" s="14" t="s">
        <v>37</v>
      </c>
      <c r="B25" s="15" t="s">
        <v>127</v>
      </c>
      <c r="C25" s="16"/>
      <c r="D25" s="17" t="str">
        <f aca="false">IF(C25="","",IF(C25="Total cumplimiento",1,IF(C25="Cumplimiento parcial",0.5,0)))</f>
        <v/>
      </c>
      <c r="E25" s="18"/>
    </row>
    <row r="26" customFormat="false" ht="15" hidden="false" customHeight="false" outlineLevel="0" collapsed="false">
      <c r="B26" s="19" t="s">
        <v>41</v>
      </c>
      <c r="C26" s="20" t="str">
        <f aca="false">IF(COUNT(D21:D25)&lt;5,"",AVERAGE(D21:D25))</f>
        <v/>
      </c>
      <c r="D26" s="21" t="str">
        <f aca="false">IF(C26="","",IF(C26&gt;=$D$72,3,IF(C26&gt;=$D$73,2,IF(C26&gt;=$D$74,1,0))))</f>
        <v/>
      </c>
      <c r="E26" s="22" t="s">
        <v>26</v>
      </c>
    </row>
    <row r="28" customFormat="false" ht="21.75" hidden="false" customHeight="true" outlineLevel="0" collapsed="false">
      <c r="A28" s="12" t="s">
        <v>128</v>
      </c>
      <c r="B28" s="12"/>
      <c r="C28" s="12"/>
      <c r="D28" s="12"/>
      <c r="E28" s="12"/>
    </row>
    <row r="29" customFormat="false" ht="21" hidden="false" customHeight="true" outlineLevel="0" collapsed="false">
      <c r="A29" s="13" t="s">
        <v>129</v>
      </c>
      <c r="B29" s="13"/>
      <c r="C29" s="13"/>
      <c r="D29" s="13"/>
      <c r="E29" s="13"/>
    </row>
    <row r="30" customFormat="false" ht="25.5" hidden="false" customHeight="true" outlineLevel="0" collapsed="false">
      <c r="A30" s="14" t="s">
        <v>44</v>
      </c>
      <c r="B30" s="15" t="s">
        <v>130</v>
      </c>
      <c r="C30" s="16"/>
      <c r="D30" s="17" t="str">
        <f aca="false">IF(C30="","",IF(C30="Total cumplimiento",1,IF(C30="Cumplimiento parcial",0.5,0)))</f>
        <v/>
      </c>
      <c r="E30" s="18"/>
    </row>
    <row r="31" customFormat="false" ht="36" hidden="false" customHeight="true" outlineLevel="0" collapsed="false">
      <c r="A31" s="14" t="s">
        <v>46</v>
      </c>
      <c r="B31" s="15" t="s">
        <v>131</v>
      </c>
      <c r="C31" s="16"/>
      <c r="D31" s="17" t="str">
        <f aca="false">IF(C31="","",IF(C31="Total cumplimiento",1,IF(C31="Cumplimiento parcial",0.5,0)))</f>
        <v/>
      </c>
      <c r="E31" s="18"/>
    </row>
    <row r="32" customFormat="false" ht="25.5" hidden="false" customHeight="true" outlineLevel="0" collapsed="false">
      <c r="A32" s="14" t="s">
        <v>48</v>
      </c>
      <c r="B32" s="15" t="s">
        <v>132</v>
      </c>
      <c r="C32" s="16"/>
      <c r="D32" s="17" t="str">
        <f aca="false">IF(C32="","",IF(C32="Total cumplimiento",1,IF(C32="Cumplimiento parcial",0.5,0)))</f>
        <v/>
      </c>
      <c r="E32" s="18"/>
    </row>
    <row r="33" customFormat="false" ht="36" hidden="false" customHeight="true" outlineLevel="0" collapsed="false">
      <c r="A33" s="14" t="s">
        <v>50</v>
      </c>
      <c r="B33" s="15" t="s">
        <v>133</v>
      </c>
      <c r="C33" s="16"/>
      <c r="D33" s="17" t="str">
        <f aca="false">IF(C33="","",IF(C33="Total cumplimiento",1,IF(C33="Cumplimiento parcial",0.5,0)))</f>
        <v/>
      </c>
      <c r="E33" s="18"/>
    </row>
    <row r="34" customFormat="false" ht="25.5" hidden="false" customHeight="true" outlineLevel="0" collapsed="false">
      <c r="A34" s="14" t="s">
        <v>52</v>
      </c>
      <c r="B34" s="15" t="s">
        <v>134</v>
      </c>
      <c r="C34" s="16"/>
      <c r="D34" s="17" t="str">
        <f aca="false">IF(C34="","",IF(C34="Total cumplimiento",1,IF(C34="Cumplimiento parcial",0.5,0)))</f>
        <v/>
      </c>
      <c r="E34" s="18"/>
    </row>
    <row r="35" customFormat="false" ht="36" hidden="false" customHeight="true" outlineLevel="0" collapsed="false">
      <c r="A35" s="14" t="s">
        <v>54</v>
      </c>
      <c r="B35" s="15" t="s">
        <v>135</v>
      </c>
      <c r="C35" s="16"/>
      <c r="D35" s="17" t="str">
        <f aca="false">IF(C35="","",IF(C35="Total cumplimiento",1,IF(C35="Cumplimiento parcial",0.5,0)))</f>
        <v/>
      </c>
      <c r="E35" s="18"/>
    </row>
    <row r="36" customFormat="false" ht="15" hidden="false" customHeight="false" outlineLevel="0" collapsed="false">
      <c r="B36" s="19" t="s">
        <v>56</v>
      </c>
      <c r="C36" s="20" t="str">
        <f aca="false">IF(COUNT(D30:D35)&lt;6,"",AVERAGE(D30:D35))</f>
        <v/>
      </c>
      <c r="D36" s="21" t="str">
        <f aca="false">IF(C36="","",IF(C36&gt;=$D$72,3,IF(C36&gt;=$D$73,2,IF(C36&gt;=$D$74,1,0))))</f>
        <v/>
      </c>
      <c r="E36" s="22" t="s">
        <v>26</v>
      </c>
    </row>
    <row r="38" customFormat="false" ht="21.75" hidden="false" customHeight="true" outlineLevel="0" collapsed="false">
      <c r="A38" s="12" t="s">
        <v>136</v>
      </c>
      <c r="B38" s="12"/>
      <c r="C38" s="12"/>
      <c r="D38" s="12"/>
      <c r="E38" s="12"/>
    </row>
    <row r="39" customFormat="false" ht="21" hidden="false" customHeight="true" outlineLevel="0" collapsed="false">
      <c r="A39" s="13" t="s">
        <v>137</v>
      </c>
      <c r="B39" s="13"/>
      <c r="C39" s="13"/>
      <c r="D39" s="13"/>
      <c r="E39" s="13"/>
    </row>
    <row r="40" customFormat="false" ht="25.5" hidden="false" customHeight="true" outlineLevel="0" collapsed="false">
      <c r="A40" s="14" t="s">
        <v>59</v>
      </c>
      <c r="B40" s="15" t="s">
        <v>138</v>
      </c>
      <c r="C40" s="16"/>
      <c r="D40" s="17" t="str">
        <f aca="false">IF(C40="","",IF(C40="Total cumplimiento",1,IF(C40="Cumplimiento parcial",0.5,0)))</f>
        <v/>
      </c>
      <c r="E40" s="18"/>
    </row>
    <row r="41" customFormat="false" ht="25.5" hidden="false" customHeight="true" outlineLevel="0" collapsed="false">
      <c r="A41" s="14" t="s">
        <v>61</v>
      </c>
      <c r="B41" s="15" t="s">
        <v>139</v>
      </c>
      <c r="C41" s="16"/>
      <c r="D41" s="17" t="str">
        <f aca="false">IF(C41="","",IF(C41="Total cumplimiento",1,IF(C41="Cumplimiento parcial",0.5,0)))</f>
        <v/>
      </c>
      <c r="E41" s="18"/>
    </row>
    <row r="42" customFormat="false" ht="36" hidden="false" customHeight="true" outlineLevel="0" collapsed="false">
      <c r="A42" s="14" t="s">
        <v>63</v>
      </c>
      <c r="B42" s="15" t="s">
        <v>140</v>
      </c>
      <c r="C42" s="16"/>
      <c r="D42" s="17" t="str">
        <f aca="false">IF(C42="","",IF(C42="Total cumplimiento",1,IF(C42="Cumplimiento parcial",0.5,0)))</f>
        <v/>
      </c>
      <c r="E42" s="18"/>
    </row>
    <row r="43" customFormat="false" ht="25.5" hidden="false" customHeight="true" outlineLevel="0" collapsed="false">
      <c r="A43" s="14" t="s">
        <v>65</v>
      </c>
      <c r="B43" s="15" t="s">
        <v>141</v>
      </c>
      <c r="C43" s="16"/>
      <c r="D43" s="17" t="str">
        <f aca="false">IF(C43="","",IF(C43="Total cumplimiento",1,IF(C43="Cumplimiento parcial",0.5,0)))</f>
        <v/>
      </c>
      <c r="E43" s="18"/>
    </row>
    <row r="44" customFormat="false" ht="15" hidden="false" customHeight="false" outlineLevel="0" collapsed="false">
      <c r="B44" s="19" t="s">
        <v>71</v>
      </c>
      <c r="C44" s="20" t="str">
        <f aca="false">IF(COUNT(D40:D43)&lt;4,"",AVERAGE(D40:D43))</f>
        <v/>
      </c>
      <c r="D44" s="21" t="str">
        <f aca="false">IF(C44="","",IF(C44&gt;=$D$72,3,IF(C44&gt;=$D$73,2,IF(C44&gt;=$D$74,1,0))))</f>
        <v/>
      </c>
      <c r="E44" s="22" t="s">
        <v>26</v>
      </c>
    </row>
    <row r="46" customFormat="false" ht="21.75" hidden="false" customHeight="true" outlineLevel="0" collapsed="false">
      <c r="A46" s="12" t="s">
        <v>142</v>
      </c>
      <c r="B46" s="12"/>
      <c r="C46" s="12"/>
      <c r="D46" s="12"/>
      <c r="E46" s="12"/>
    </row>
    <row r="47" customFormat="false" ht="21" hidden="false" customHeight="true" outlineLevel="0" collapsed="false">
      <c r="A47" s="13" t="s">
        <v>143</v>
      </c>
      <c r="B47" s="13"/>
      <c r="C47" s="13"/>
      <c r="D47" s="13"/>
      <c r="E47" s="13"/>
    </row>
    <row r="48" customFormat="false" ht="25.5" hidden="false" customHeight="true" outlineLevel="0" collapsed="false">
      <c r="A48" s="14" t="s">
        <v>74</v>
      </c>
      <c r="B48" s="15" t="s">
        <v>144</v>
      </c>
      <c r="C48" s="16"/>
      <c r="D48" s="17" t="str">
        <f aca="false">IF(C48="","",IF(C48="Total cumplimiento",1,IF(C48="Cumplimiento parcial",0.5,0)))</f>
        <v/>
      </c>
      <c r="E48" s="18"/>
    </row>
    <row r="49" customFormat="false" ht="25.5" hidden="false" customHeight="true" outlineLevel="0" collapsed="false">
      <c r="A49" s="14" t="s">
        <v>76</v>
      </c>
      <c r="B49" s="15" t="s">
        <v>145</v>
      </c>
      <c r="C49" s="16"/>
      <c r="D49" s="17" t="str">
        <f aca="false">IF(C49="","",IF(C49="Total cumplimiento",1,IF(C49="Cumplimiento parcial",0.5,0)))</f>
        <v/>
      </c>
      <c r="E49" s="18"/>
    </row>
    <row r="50" customFormat="false" ht="36" hidden="false" customHeight="true" outlineLevel="0" collapsed="false">
      <c r="A50" s="14" t="s">
        <v>78</v>
      </c>
      <c r="B50" s="15" t="s">
        <v>146</v>
      </c>
      <c r="C50" s="16"/>
      <c r="D50" s="17" t="str">
        <f aca="false">IF(C50="","",IF(C50="Total cumplimiento",1,IF(C50="Cumplimiento parcial",0.5,0)))</f>
        <v/>
      </c>
      <c r="E50" s="18"/>
    </row>
    <row r="51" customFormat="false" ht="25.5" hidden="false" customHeight="true" outlineLevel="0" collapsed="false">
      <c r="A51" s="14" t="s">
        <v>80</v>
      </c>
      <c r="B51" s="15" t="s">
        <v>147</v>
      </c>
      <c r="C51" s="16"/>
      <c r="D51" s="17" t="str">
        <f aca="false">IF(C51="","",IF(C51="Total cumplimiento",1,IF(C51="Cumplimiento parcial",0.5,0)))</f>
        <v/>
      </c>
      <c r="E51" s="18"/>
    </row>
    <row r="52" customFormat="false" ht="25.5" hidden="false" customHeight="true" outlineLevel="0" collapsed="false">
      <c r="A52" s="14" t="s">
        <v>82</v>
      </c>
      <c r="B52" s="15" t="s">
        <v>148</v>
      </c>
      <c r="C52" s="16"/>
      <c r="D52" s="17" t="str">
        <f aca="false">IF(C52="","",IF(C52="Total cumplimiento",1,IF(C52="Cumplimiento parcial",0.5,0)))</f>
        <v/>
      </c>
      <c r="E52" s="18"/>
    </row>
    <row r="53" customFormat="false" ht="15" hidden="false" customHeight="false" outlineLevel="0" collapsed="false">
      <c r="B53" s="19" t="s">
        <v>84</v>
      </c>
      <c r="C53" s="20" t="str">
        <f aca="false">IF(COUNT(D48:D52)&lt;5,"",AVERAGE(D48:D52))</f>
        <v/>
      </c>
      <c r="D53" s="21" t="str">
        <f aca="false">IF(C53="","",IF(C53&gt;=$D$72,3,IF(C53&gt;=$D$73,2,IF(C53&gt;=$D$74,1,0))))</f>
        <v/>
      </c>
      <c r="E53" s="22" t="s">
        <v>26</v>
      </c>
    </row>
    <row r="55" customFormat="false" ht="24" hidden="false" customHeight="true" outlineLevel="0" collapsed="false">
      <c r="A55" s="23" t="s">
        <v>85</v>
      </c>
      <c r="B55" s="23"/>
      <c r="C55" s="23"/>
      <c r="D55" s="23"/>
      <c r="E55" s="23"/>
      <c r="F55" s="23"/>
    </row>
    <row r="56" customFormat="false" ht="15" hidden="false" customHeight="false" outlineLevel="0" collapsed="false">
      <c r="A56" s="24" t="s">
        <v>8</v>
      </c>
      <c r="B56" s="25" t="s">
        <v>86</v>
      </c>
      <c r="C56" s="24" t="s">
        <v>87</v>
      </c>
      <c r="D56" s="24" t="s">
        <v>88</v>
      </c>
      <c r="E56" s="24" t="s">
        <v>89</v>
      </c>
      <c r="F56" s="24" t="s">
        <v>90</v>
      </c>
    </row>
    <row r="57" customFormat="false" ht="15" hidden="false" customHeight="false" outlineLevel="0" collapsed="false">
      <c r="A57" s="14" t="n">
        <v>1</v>
      </c>
      <c r="B57" s="26" t="s">
        <v>149</v>
      </c>
      <c r="C57" s="27" t="n">
        <v>0.25</v>
      </c>
      <c r="D57" s="28" t="str">
        <f aca="false">C17</f>
        <v/>
      </c>
      <c r="E57" s="29" t="str">
        <f aca="false">D17</f>
        <v/>
      </c>
      <c r="F57" s="30" t="str">
        <f aca="false">IF(D57="","",ROUND(D57*3,2))</f>
        <v/>
      </c>
    </row>
    <row r="58" customFormat="false" ht="15" hidden="false" customHeight="false" outlineLevel="0" collapsed="false">
      <c r="A58" s="14" t="n">
        <v>2</v>
      </c>
      <c r="B58" s="26" t="s">
        <v>150</v>
      </c>
      <c r="C58" s="27" t="n">
        <v>0.15</v>
      </c>
      <c r="D58" s="28" t="str">
        <f aca="false">C26</f>
        <v/>
      </c>
      <c r="E58" s="29" t="str">
        <f aca="false">D26</f>
        <v/>
      </c>
      <c r="F58" s="30" t="str">
        <f aca="false">IF(D58="","",ROUND(D58*3,2))</f>
        <v/>
      </c>
    </row>
    <row r="59" customFormat="false" ht="15" hidden="false" customHeight="false" outlineLevel="0" collapsed="false">
      <c r="A59" s="14" t="n">
        <v>3</v>
      </c>
      <c r="B59" s="26" t="s">
        <v>151</v>
      </c>
      <c r="C59" s="27" t="n">
        <v>0.25</v>
      </c>
      <c r="D59" s="28" t="str">
        <f aca="false">C36</f>
        <v/>
      </c>
      <c r="E59" s="29" t="str">
        <f aca="false">D36</f>
        <v/>
      </c>
      <c r="F59" s="30" t="str">
        <f aca="false">IF(D59="","",ROUND(D59*3,2))</f>
        <v/>
      </c>
    </row>
    <row r="60" customFormat="false" ht="15" hidden="false" customHeight="false" outlineLevel="0" collapsed="false">
      <c r="A60" s="14" t="n">
        <v>4</v>
      </c>
      <c r="B60" s="26" t="s">
        <v>152</v>
      </c>
      <c r="C60" s="27" t="n">
        <v>0.15</v>
      </c>
      <c r="D60" s="28" t="str">
        <f aca="false">C44</f>
        <v/>
      </c>
      <c r="E60" s="29" t="str">
        <f aca="false">D44</f>
        <v/>
      </c>
      <c r="F60" s="30" t="str">
        <f aca="false">IF(D60="","",ROUND(D60*3,2))</f>
        <v/>
      </c>
    </row>
    <row r="61" customFormat="false" ht="15" hidden="false" customHeight="false" outlineLevel="0" collapsed="false">
      <c r="A61" s="14" t="n">
        <v>5</v>
      </c>
      <c r="B61" s="26" t="s">
        <v>153</v>
      </c>
      <c r="C61" s="27" t="n">
        <v>0.2</v>
      </c>
      <c r="D61" s="28" t="str">
        <f aca="false">C53</f>
        <v/>
      </c>
      <c r="E61" s="29" t="str">
        <f aca="false">D53</f>
        <v/>
      </c>
      <c r="F61" s="30" t="str">
        <f aca="false">IF(D61="","",ROUND(D61*3,2))</f>
        <v/>
      </c>
    </row>
    <row r="62" customFormat="false" ht="15" hidden="false" customHeight="false" outlineLevel="0" collapsed="false">
      <c r="C62" s="31" t="s">
        <v>96</v>
      </c>
      <c r="D62" s="32" t="n">
        <f aca="false">SUM(C57:C61)</f>
        <v>1</v>
      </c>
    </row>
    <row r="64" customFormat="false" ht="17.35" hidden="false" customHeight="false" outlineLevel="0" collapsed="false">
      <c r="B64" s="33" t="s">
        <v>97</v>
      </c>
      <c r="D64" s="34" t="str">
        <f aca="false">IF(COUNT(E57:E61)&lt;5,"—",ROUND(SUMPRODUCT(C57:C61,E57:E61)/3*10,2))</f>
        <v>—</v>
      </c>
    </row>
    <row r="65" customFormat="false" ht="15" hidden="false" customHeight="false" outlineLevel="0" collapsed="false">
      <c r="B65" s="5" t="s">
        <v>98</v>
      </c>
      <c r="D65" s="30" t="str">
        <f aca="false">IF(COUNT(F57:F61)&lt;5,"—",ROUND(SUMPRODUCT(C57:C61,F57:F61)/3*10,2))</f>
        <v>—</v>
      </c>
    </row>
    <row r="66" customFormat="false" ht="15" hidden="false" customHeight="false" outlineLevel="0" collapsed="false">
      <c r="B66" s="5" t="s">
        <v>99</v>
      </c>
      <c r="D66" s="35" t="str">
        <f aca="false">IF(ISNUMBER(D64),IF(D64&gt;=3.5,"Supera","No supera"),"—")</f>
        <v>—</v>
      </c>
    </row>
    <row r="67" customFormat="false" ht="15" hidden="false" customHeight="false" outlineLevel="0" collapsed="false">
      <c r="B67" s="36" t="s">
        <v>154</v>
      </c>
      <c r="D67" s="9" t="s">
        <v>155</v>
      </c>
    </row>
    <row r="70" customFormat="false" ht="15" hidden="false" customHeight="false" outlineLevel="0" collapsed="false">
      <c r="A70" s="37" t="s">
        <v>101</v>
      </c>
      <c r="B70" s="37"/>
      <c r="C70" s="37"/>
      <c r="D70" s="37"/>
      <c r="E70" s="37"/>
      <c r="F70" s="37"/>
    </row>
    <row r="71" customFormat="false" ht="15" hidden="false" customHeight="false" outlineLevel="0" collapsed="false">
      <c r="A71" s="24"/>
      <c r="B71" s="38" t="s">
        <v>102</v>
      </c>
      <c r="C71" s="24"/>
      <c r="D71" s="24" t="s">
        <v>103</v>
      </c>
      <c r="E71" s="24"/>
      <c r="F71" s="24"/>
    </row>
    <row r="72" customFormat="false" ht="15" hidden="false" customHeight="false" outlineLevel="0" collapsed="false">
      <c r="A72" s="26"/>
      <c r="B72" s="39" t="s">
        <v>104</v>
      </c>
      <c r="C72" s="26"/>
      <c r="D72" s="40" t="n">
        <v>0.85</v>
      </c>
    </row>
    <row r="73" customFormat="false" ht="15" hidden="false" customHeight="false" outlineLevel="0" collapsed="false">
      <c r="A73" s="26"/>
      <c r="B73" s="39" t="s">
        <v>105</v>
      </c>
      <c r="C73" s="26"/>
      <c r="D73" s="40" t="n">
        <v>0.65</v>
      </c>
    </row>
    <row r="74" customFormat="false" ht="15" hidden="false" customHeight="false" outlineLevel="0" collapsed="false">
      <c r="A74" s="26"/>
      <c r="B74" s="39" t="s">
        <v>106</v>
      </c>
      <c r="C74" s="26"/>
      <c r="D74" s="40" t="n">
        <v>0.4</v>
      </c>
    </row>
    <row r="75" customFormat="false" ht="15" hidden="false" customHeight="false" outlineLevel="0" collapsed="false">
      <c r="A75" s="26"/>
      <c r="B75" s="39" t="s">
        <v>107</v>
      </c>
      <c r="C75" s="26"/>
      <c r="D75" s="40"/>
    </row>
    <row r="76" customFormat="false" ht="15" hidden="false" customHeight="true" outlineLevel="0" collapsed="false">
      <c r="A76" s="41" t="s">
        <v>108</v>
      </c>
      <c r="B76" s="41"/>
      <c r="C76" s="41"/>
      <c r="D76" s="41"/>
      <c r="E76" s="41"/>
      <c r="F76" s="41"/>
    </row>
    <row r="77" customFormat="false" ht="15" hidden="false" customHeight="true" outlineLevel="0" collapsed="false">
      <c r="A77" s="41"/>
      <c r="B77" s="41"/>
      <c r="C77" s="41"/>
      <c r="D77" s="41"/>
      <c r="E77" s="41"/>
      <c r="F77" s="41"/>
    </row>
    <row r="78" customFormat="false" ht="15" hidden="false" customHeight="true" outlineLevel="0" collapsed="false">
      <c r="A78" s="41"/>
      <c r="B78" s="41"/>
      <c r="C78" s="41"/>
      <c r="D78" s="41"/>
      <c r="E78" s="41"/>
      <c r="F78" s="41"/>
    </row>
  </sheetData>
  <mergeCells count="13">
    <mergeCell ref="A9:E9"/>
    <mergeCell ref="A10:E10"/>
    <mergeCell ref="A19:E19"/>
    <mergeCell ref="A20:E20"/>
    <mergeCell ref="A28:E28"/>
    <mergeCell ref="A29:E29"/>
    <mergeCell ref="A38:E38"/>
    <mergeCell ref="A39:E39"/>
    <mergeCell ref="A46:E46"/>
    <mergeCell ref="A47:E47"/>
    <mergeCell ref="A55:F55"/>
    <mergeCell ref="A70:F70"/>
    <mergeCell ref="A76:F78"/>
  </mergeCells>
  <conditionalFormatting sqref="C11:C16">
    <cfRule type="cellIs" priority="2" operator="equal" aboveAverage="0" equalAverage="0" bottom="0" percent="0" rank="0" text="" dxfId="0">
      <formula>"Nulo cumplimiento"</formula>
    </cfRule>
    <cfRule type="cellIs" priority="3" operator="equal" aboveAverage="0" equalAverage="0" bottom="0" percent="0" rank="0" text="" dxfId="1">
      <formula>"Cumplimiento parcial"</formula>
    </cfRule>
    <cfRule type="cellIs" priority="4" operator="equal" aboveAverage="0" equalAverage="0" bottom="0" percent="0" rank="0" text="" dxfId="2">
      <formula>"Total cumplimiento"</formula>
    </cfRule>
  </conditionalFormatting>
  <conditionalFormatting sqref="C21:C25">
    <cfRule type="cellIs" priority="5" operator="equal" aboveAverage="0" equalAverage="0" bottom="0" percent="0" rank="0" text="" dxfId="0">
      <formula>"Nulo cumplimiento"</formula>
    </cfRule>
    <cfRule type="cellIs" priority="6" operator="equal" aboveAverage="0" equalAverage="0" bottom="0" percent="0" rank="0" text="" dxfId="1">
      <formula>"Cumplimiento parcial"</formula>
    </cfRule>
    <cfRule type="cellIs" priority="7" operator="equal" aboveAverage="0" equalAverage="0" bottom="0" percent="0" rank="0" text="" dxfId="2">
      <formula>"Total cumplimiento"</formula>
    </cfRule>
  </conditionalFormatting>
  <conditionalFormatting sqref="C30:C35">
    <cfRule type="cellIs" priority="8" operator="equal" aboveAverage="0" equalAverage="0" bottom="0" percent="0" rank="0" text="" dxfId="0">
      <formula>"Nulo cumplimiento"</formula>
    </cfRule>
    <cfRule type="cellIs" priority="9" operator="equal" aboveAverage="0" equalAverage="0" bottom="0" percent="0" rank="0" text="" dxfId="1">
      <formula>"Cumplimiento parcial"</formula>
    </cfRule>
    <cfRule type="cellIs" priority="10" operator="equal" aboveAverage="0" equalAverage="0" bottom="0" percent="0" rank="0" text="" dxfId="2">
      <formula>"Total cumplimiento"</formula>
    </cfRule>
  </conditionalFormatting>
  <conditionalFormatting sqref="C40:C43">
    <cfRule type="cellIs" priority="11" operator="equal" aboveAverage="0" equalAverage="0" bottom="0" percent="0" rank="0" text="" dxfId="0">
      <formula>"Nulo cumplimiento"</formula>
    </cfRule>
    <cfRule type="cellIs" priority="12" operator="equal" aboveAverage="0" equalAverage="0" bottom="0" percent="0" rank="0" text="" dxfId="1">
      <formula>"Cumplimiento parcial"</formula>
    </cfRule>
    <cfRule type="cellIs" priority="13" operator="equal" aboveAverage="0" equalAverage="0" bottom="0" percent="0" rank="0" text="" dxfId="2">
      <formula>"Total cumplimiento"</formula>
    </cfRule>
  </conditionalFormatting>
  <conditionalFormatting sqref="C48:C52">
    <cfRule type="cellIs" priority="14" operator="equal" aboveAverage="0" equalAverage="0" bottom="0" percent="0" rank="0" text="" dxfId="0">
      <formula>"Nulo cumplimiento"</formula>
    </cfRule>
    <cfRule type="cellIs" priority="15" operator="equal" aboveAverage="0" equalAverage="0" bottom="0" percent="0" rank="0" text="" dxfId="1">
      <formula>"Cumplimiento parcial"</formula>
    </cfRule>
    <cfRule type="cellIs" priority="16" operator="equal" aboveAverage="0" equalAverage="0" bottom="0" percent="0" rank="0" text="" dxfId="2">
      <formula>"Total cumplimiento"</formula>
    </cfRule>
  </conditionalFormatting>
  <dataValidations count="1">
    <dataValidation allowBlank="true" error="Elige un valor de la lista desplegable." errorStyle="stop" errorTitle="Valor no admitido" operator="between" showDropDown="false" showErrorMessage="false" showInputMessage="false" sqref="C11:C16 C21:C25 C30:C35 C40:C43 C48:C52" type="list">
      <formula1>"Nulo cumplimiento,Cumplimiento parcial,Total cumplimiento"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" t="s">
        <v>156</v>
      </c>
    </row>
    <row r="2" customFormat="false" ht="15" hidden="false" customHeight="false" outlineLevel="0" collapsed="false">
      <c r="A2" s="42" t="s">
        <v>157</v>
      </c>
    </row>
    <row r="4" customFormat="false" ht="15" hidden="false" customHeight="false" outlineLevel="0" collapsed="false">
      <c r="A4" s="43" t="s">
        <v>158</v>
      </c>
      <c r="B4" s="43" t="s">
        <v>159</v>
      </c>
      <c r="C4" s="43" t="s">
        <v>87</v>
      </c>
      <c r="D4" s="43"/>
      <c r="E4" s="43"/>
      <c r="F4" s="43"/>
      <c r="G4" s="43"/>
    </row>
    <row r="5" customFormat="false" ht="15" hidden="false" customHeight="false" outlineLevel="0" collapsed="false">
      <c r="A5" s="26" t="s">
        <v>160</v>
      </c>
      <c r="B5" s="30" t="str">
        <f aca="false">Informe!D66</f>
        <v>—</v>
      </c>
      <c r="C5" s="27" t="n">
        <v>0.5</v>
      </c>
    </row>
    <row r="6" customFormat="false" ht="15" hidden="false" customHeight="false" outlineLevel="0" collapsed="false">
      <c r="A6" s="26" t="s">
        <v>161</v>
      </c>
      <c r="B6" s="30" t="str">
        <f aca="false">'Exposición y defensa'!D64</f>
        <v>—</v>
      </c>
      <c r="C6" s="27" t="n">
        <v>0.5</v>
      </c>
    </row>
    <row r="7" customFormat="false" ht="15" hidden="false" customHeight="false" outlineLevel="0" collapsed="false">
      <c r="A7" s="44" t="s">
        <v>162</v>
      </c>
      <c r="B7" s="45" t="str">
        <f aca="false">IF(OR(NOT(ISNUMBER(B5)),NOT(ISNUMBER(B6))),"—",ROUND(C5*B5+C6*B6,2))</f>
        <v>—</v>
      </c>
      <c r="D7" s="42" t="s">
        <v>163</v>
      </c>
    </row>
    <row r="10" customFormat="false" ht="15" hidden="false" customHeight="false" outlineLevel="0" collapsed="false">
      <c r="A10" s="43" t="s">
        <v>164</v>
      </c>
      <c r="B10" s="43"/>
      <c r="C10" s="43"/>
      <c r="D10" s="43"/>
      <c r="E10" s="43"/>
      <c r="F10" s="43"/>
      <c r="G10" s="43"/>
    </row>
    <row r="11" customFormat="false" ht="30" hidden="false" customHeight="true" outlineLevel="0" collapsed="false">
      <c r="A11" s="46" t="s">
        <v>165</v>
      </c>
      <c r="B11" s="47" t="s">
        <v>166</v>
      </c>
      <c r="C11" s="47" t="s">
        <v>167</v>
      </c>
      <c r="D11" s="47" t="s">
        <v>168</v>
      </c>
      <c r="E11" s="47" t="s">
        <v>169</v>
      </c>
      <c r="F11" s="47" t="s">
        <v>170</v>
      </c>
      <c r="G11" s="47" t="s">
        <v>171</v>
      </c>
    </row>
    <row r="12" customFormat="false" ht="15" hidden="false" customHeight="false" outlineLevel="0" collapsed="false">
      <c r="A12" s="4"/>
      <c r="B12" s="48"/>
      <c r="C12" s="30" t="str">
        <f aca="false">IF(OR(NOT(ISNUMBER($B$7)),NOT(ISNUMBER(B12))),"",ROUND($B$7*B12,2))</f>
        <v/>
      </c>
      <c r="D12" s="48"/>
      <c r="E12" s="49" t="str">
        <f aca="false">IF(OR(NOT(ISNUMBER(C12)),NOT(ISNUMBER(D12))),"",ROUND($B$17*C12+$D$17*D12,2))</f>
        <v/>
      </c>
      <c r="F12" s="50" t="s">
        <v>172</v>
      </c>
      <c r="G12" s="35" t="str">
        <f aca="false">IF(E12="","",IF(AND(C12&gt;=3.5,D12&gt;=3.5,E12&gt;=5),"Supera la continua","NO supera la continua"))</f>
        <v/>
      </c>
    </row>
    <row r="13" customFormat="false" ht="15" hidden="false" customHeight="false" outlineLevel="0" collapsed="false">
      <c r="A13" s="4"/>
      <c r="B13" s="48"/>
      <c r="C13" s="30" t="str">
        <f aca="false">IF(OR(NOT(ISNUMBER($B$7)),NOT(ISNUMBER(B13))),"",ROUND($B$7*B13,2))</f>
        <v/>
      </c>
      <c r="D13" s="48"/>
      <c r="E13" s="49" t="str">
        <f aca="false">IF(OR(NOT(ISNUMBER(C13)),NOT(ISNUMBER(D13))),"",ROUND($B$17*C13+$D$17*D13,2))</f>
        <v/>
      </c>
      <c r="F13" s="50" t="s">
        <v>172</v>
      </c>
      <c r="G13" s="35" t="str">
        <f aca="false">IF(E13="","",IF(AND(C13&gt;=3.5,D13&gt;=3.5,E13&gt;=5),"Supera la continua","NO supera la continua"))</f>
        <v/>
      </c>
    </row>
    <row r="14" customFormat="false" ht="15" hidden="false" customHeight="false" outlineLevel="0" collapsed="false">
      <c r="A14" s="4"/>
      <c r="B14" s="48"/>
      <c r="C14" s="30" t="str">
        <f aca="false">IF(OR(NOT(ISNUMBER($B$7)),NOT(ISNUMBER(B14))),"",ROUND($B$7*B14,2))</f>
        <v/>
      </c>
      <c r="D14" s="48"/>
      <c r="E14" s="49" t="str">
        <f aca="false">IF(OR(NOT(ISNUMBER(C14)),NOT(ISNUMBER(D14))),"",ROUND($B$17*C14+$D$17*D14,2))</f>
        <v/>
      </c>
      <c r="F14" s="50" t="s">
        <v>172</v>
      </c>
      <c r="G14" s="35" t="str">
        <f aca="false">IF(E14="","",IF(AND(C14&gt;=3.5,D14&gt;=3.5,E14&gt;=5),"Supera la continua","NO supera la continua"))</f>
        <v/>
      </c>
    </row>
    <row r="15" customFormat="false" ht="15" hidden="false" customHeight="false" outlineLevel="0" collapsed="false">
      <c r="A15" s="4"/>
      <c r="B15" s="48"/>
      <c r="C15" s="30" t="str">
        <f aca="false">IF(OR(NOT(ISNUMBER($B$7)),NOT(ISNUMBER(B15))),"",ROUND($B$7*B15,2))</f>
        <v/>
      </c>
      <c r="D15" s="48"/>
      <c r="E15" s="49" t="str">
        <f aca="false">IF(OR(NOT(ISNUMBER(C15)),NOT(ISNUMBER(D15))),"",ROUND($B$17*C15+$D$17*D15,2))</f>
        <v/>
      </c>
      <c r="F15" s="50" t="s">
        <v>172</v>
      </c>
      <c r="G15" s="35" t="str">
        <f aca="false">IF(E15="","",IF(AND(C15&gt;=3.5,D15&gt;=3.5,E15&gt;=5),"Supera la continua","NO supera la continua"))</f>
        <v/>
      </c>
    </row>
    <row r="17" customFormat="false" ht="15" hidden="false" customHeight="false" outlineLevel="0" collapsed="false">
      <c r="A17" s="5" t="s">
        <v>173</v>
      </c>
      <c r="B17" s="51" t="n">
        <v>0.6</v>
      </c>
      <c r="C17" s="5" t="s">
        <v>174</v>
      </c>
      <c r="D17" s="51" t="n">
        <v>0.4</v>
      </c>
    </row>
    <row r="19" customFormat="false" ht="15" hidden="false" customHeight="true" outlineLevel="0" collapsed="false">
      <c r="A19" s="52" t="s">
        <v>175</v>
      </c>
      <c r="B19" s="52"/>
      <c r="C19" s="52"/>
      <c r="D19" s="52"/>
      <c r="E19" s="52"/>
      <c r="F19" s="52"/>
      <c r="G19" s="52"/>
    </row>
    <row r="20" customFormat="false" ht="15" hidden="false" customHeight="true" outlineLevel="0" collapsed="false">
      <c r="A20" s="52"/>
      <c r="B20" s="52"/>
      <c r="C20" s="52"/>
      <c r="D20" s="52"/>
      <c r="E20" s="52"/>
      <c r="F20" s="52"/>
      <c r="G20" s="52"/>
    </row>
    <row r="21" customFormat="false" ht="15" hidden="false" customHeight="true" outlineLevel="0" collapsed="false">
      <c r="A21" s="52"/>
      <c r="B21" s="52"/>
      <c r="C21" s="52"/>
      <c r="D21" s="52"/>
      <c r="E21" s="52"/>
      <c r="F21" s="52"/>
      <c r="G21" s="52"/>
    </row>
  </sheetData>
  <mergeCells count="1">
    <mergeCell ref="A19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7" min="4" style="0" width="30"/>
  </cols>
  <sheetData>
    <row r="1" customFormat="false" ht="16.15" hidden="false" customHeight="false" outlineLevel="0" collapsed="false">
      <c r="A1" s="53" t="s">
        <v>176</v>
      </c>
    </row>
    <row r="2" customFormat="false" ht="15" hidden="false" customHeight="false" outlineLevel="0" collapsed="false">
      <c r="A2" s="2" t="s">
        <v>177</v>
      </c>
    </row>
    <row r="4" customFormat="false" ht="15" hidden="false" customHeight="false" outlineLevel="0" collapsed="false">
      <c r="A4" s="43" t="s">
        <v>178</v>
      </c>
      <c r="B4" s="43"/>
      <c r="C4" s="43"/>
      <c r="D4" s="43"/>
      <c r="E4" s="43"/>
      <c r="F4" s="43"/>
      <c r="G4" s="43"/>
    </row>
    <row r="5" customFormat="false" ht="15" hidden="false" customHeight="false" outlineLevel="0" collapsed="false">
      <c r="A5" s="47" t="s">
        <v>86</v>
      </c>
      <c r="B5" s="47" t="s">
        <v>179</v>
      </c>
      <c r="C5" s="47" t="s">
        <v>87</v>
      </c>
      <c r="D5" s="47" t="s">
        <v>180</v>
      </c>
      <c r="E5" s="47" t="s">
        <v>181</v>
      </c>
      <c r="F5" s="47" t="s">
        <v>182</v>
      </c>
      <c r="G5" s="47" t="s">
        <v>183</v>
      </c>
    </row>
    <row r="6" customFormat="false" ht="96" hidden="false" customHeight="true" outlineLevel="0" collapsed="false">
      <c r="A6" s="54" t="s">
        <v>91</v>
      </c>
      <c r="B6" s="55" t="s">
        <v>184</v>
      </c>
      <c r="C6" s="56" t="n">
        <v>0.2</v>
      </c>
      <c r="D6" s="55" t="s">
        <v>185</v>
      </c>
      <c r="E6" s="55" t="s">
        <v>186</v>
      </c>
      <c r="F6" s="55" t="s">
        <v>187</v>
      </c>
      <c r="G6" s="55" t="s">
        <v>188</v>
      </c>
    </row>
    <row r="7" customFormat="false" ht="96" hidden="false" customHeight="true" outlineLevel="0" collapsed="false">
      <c r="A7" s="54" t="s">
        <v>92</v>
      </c>
      <c r="B7" s="55" t="s">
        <v>189</v>
      </c>
      <c r="C7" s="56" t="n">
        <v>0.2</v>
      </c>
      <c r="D7" s="55" t="s">
        <v>190</v>
      </c>
      <c r="E7" s="55" t="s">
        <v>191</v>
      </c>
      <c r="F7" s="55" t="s">
        <v>192</v>
      </c>
      <c r="G7" s="55" t="s">
        <v>193</v>
      </c>
    </row>
    <row r="8" customFormat="false" ht="96" hidden="false" customHeight="true" outlineLevel="0" collapsed="false">
      <c r="A8" s="54" t="s">
        <v>93</v>
      </c>
      <c r="B8" s="55" t="s">
        <v>194</v>
      </c>
      <c r="C8" s="56" t="n">
        <v>0.2</v>
      </c>
      <c r="D8" s="55" t="s">
        <v>195</v>
      </c>
      <c r="E8" s="55" t="s">
        <v>196</v>
      </c>
      <c r="F8" s="55" t="s">
        <v>197</v>
      </c>
      <c r="G8" s="55" t="s">
        <v>198</v>
      </c>
    </row>
    <row r="9" customFormat="false" ht="96" hidden="false" customHeight="true" outlineLevel="0" collapsed="false">
      <c r="A9" s="54" t="s">
        <v>94</v>
      </c>
      <c r="B9" s="55" t="s">
        <v>199</v>
      </c>
      <c r="C9" s="56" t="n">
        <v>0.3</v>
      </c>
      <c r="D9" s="55" t="s">
        <v>200</v>
      </c>
      <c r="E9" s="55" t="s">
        <v>201</v>
      </c>
      <c r="F9" s="55" t="s">
        <v>202</v>
      </c>
      <c r="G9" s="55" t="s">
        <v>203</v>
      </c>
    </row>
    <row r="10" customFormat="false" ht="96" hidden="false" customHeight="true" outlineLevel="0" collapsed="false">
      <c r="A10" s="54" t="s">
        <v>95</v>
      </c>
      <c r="B10" s="55" t="s">
        <v>204</v>
      </c>
      <c r="C10" s="56" t="n">
        <v>0.1</v>
      </c>
      <c r="D10" s="55" t="s">
        <v>205</v>
      </c>
      <c r="E10" s="55" t="s">
        <v>206</v>
      </c>
      <c r="F10" s="55" t="s">
        <v>207</v>
      </c>
      <c r="G10" s="55" t="s">
        <v>208</v>
      </c>
    </row>
    <row r="11" customFormat="false" ht="15" hidden="false" customHeight="true" outlineLevel="0" collapsed="false">
      <c r="A11" s="41" t="s">
        <v>209</v>
      </c>
      <c r="B11" s="41"/>
      <c r="C11" s="41"/>
      <c r="D11" s="41"/>
      <c r="E11" s="41"/>
      <c r="F11" s="41"/>
      <c r="G11" s="41"/>
    </row>
    <row r="12" customFormat="false" ht="15" hidden="false" customHeight="false" outlineLevel="0" collapsed="false">
      <c r="A12" s="41"/>
      <c r="B12" s="41"/>
      <c r="C12" s="41"/>
      <c r="D12" s="41"/>
      <c r="E12" s="41"/>
      <c r="F12" s="41"/>
      <c r="G12" s="41"/>
    </row>
    <row r="14" customFormat="false" ht="15" hidden="false" customHeight="false" outlineLevel="0" collapsed="false">
      <c r="A14" s="43" t="s">
        <v>210</v>
      </c>
      <c r="B14" s="43"/>
      <c r="C14" s="43"/>
      <c r="D14" s="43"/>
      <c r="E14" s="43"/>
      <c r="F14" s="43"/>
      <c r="G14" s="43"/>
    </row>
    <row r="15" customFormat="false" ht="15" hidden="false" customHeight="false" outlineLevel="0" collapsed="false">
      <c r="A15" s="47" t="s">
        <v>86</v>
      </c>
      <c r="B15" s="47" t="s">
        <v>179</v>
      </c>
      <c r="C15" s="47" t="s">
        <v>87</v>
      </c>
      <c r="D15" s="47" t="s">
        <v>180</v>
      </c>
      <c r="E15" s="47" t="s">
        <v>181</v>
      </c>
      <c r="F15" s="47" t="s">
        <v>182</v>
      </c>
      <c r="G15" s="47" t="s">
        <v>183</v>
      </c>
    </row>
    <row r="16" customFormat="false" ht="96" hidden="false" customHeight="true" outlineLevel="0" collapsed="false">
      <c r="A16" s="54" t="s">
        <v>149</v>
      </c>
      <c r="B16" s="55" t="s">
        <v>211</v>
      </c>
      <c r="C16" s="56" t="n">
        <v>0.25</v>
      </c>
      <c r="D16" s="55" t="s">
        <v>212</v>
      </c>
      <c r="E16" s="55" t="s">
        <v>213</v>
      </c>
      <c r="F16" s="55" t="s">
        <v>214</v>
      </c>
      <c r="G16" s="55" t="s">
        <v>215</v>
      </c>
    </row>
    <row r="17" customFormat="false" ht="96" hidden="false" customHeight="true" outlineLevel="0" collapsed="false">
      <c r="A17" s="54" t="s">
        <v>150</v>
      </c>
      <c r="B17" s="55" t="s">
        <v>216</v>
      </c>
      <c r="C17" s="56" t="n">
        <v>0.15</v>
      </c>
      <c r="D17" s="55" t="s">
        <v>217</v>
      </c>
      <c r="E17" s="55" t="s">
        <v>218</v>
      </c>
      <c r="F17" s="55" t="s">
        <v>219</v>
      </c>
      <c r="G17" s="55" t="s">
        <v>220</v>
      </c>
    </row>
    <row r="18" customFormat="false" ht="96" hidden="false" customHeight="true" outlineLevel="0" collapsed="false">
      <c r="A18" s="54" t="s">
        <v>151</v>
      </c>
      <c r="B18" s="55" t="s">
        <v>221</v>
      </c>
      <c r="C18" s="56" t="n">
        <v>0.25</v>
      </c>
      <c r="D18" s="55" t="s">
        <v>222</v>
      </c>
      <c r="E18" s="55" t="s">
        <v>223</v>
      </c>
      <c r="F18" s="55" t="s">
        <v>224</v>
      </c>
      <c r="G18" s="55" t="s">
        <v>225</v>
      </c>
    </row>
    <row r="19" customFormat="false" ht="96" hidden="false" customHeight="true" outlineLevel="0" collapsed="false">
      <c r="A19" s="54" t="s">
        <v>152</v>
      </c>
      <c r="B19" s="55" t="s">
        <v>226</v>
      </c>
      <c r="C19" s="56" t="n">
        <v>0.15</v>
      </c>
      <c r="D19" s="55" t="s">
        <v>227</v>
      </c>
      <c r="E19" s="55" t="s">
        <v>228</v>
      </c>
      <c r="F19" s="55" t="s">
        <v>229</v>
      </c>
      <c r="G19" s="55" t="s">
        <v>230</v>
      </c>
    </row>
    <row r="20" customFormat="false" ht="96" hidden="false" customHeight="true" outlineLevel="0" collapsed="false">
      <c r="A20" s="54" t="s">
        <v>153</v>
      </c>
      <c r="B20" s="55" t="s">
        <v>231</v>
      </c>
      <c r="C20" s="56" t="n">
        <v>0.2</v>
      </c>
      <c r="D20" s="55" t="s">
        <v>232</v>
      </c>
      <c r="E20" s="55" t="s">
        <v>233</v>
      </c>
      <c r="F20" s="55" t="s">
        <v>234</v>
      </c>
      <c r="G20" s="55" t="s">
        <v>235</v>
      </c>
    </row>
    <row r="21" customFormat="false" ht="15" hidden="false" customHeight="true" outlineLevel="0" collapsed="false">
      <c r="A21" s="41" t="s">
        <v>236</v>
      </c>
      <c r="B21" s="41"/>
      <c r="C21" s="41"/>
      <c r="D21" s="41"/>
      <c r="E21" s="41"/>
      <c r="F21" s="41"/>
      <c r="G21" s="41"/>
    </row>
    <row r="22" customFormat="false" ht="15" hidden="false" customHeight="false" outlineLevel="0" collapsed="false">
      <c r="A22" s="41"/>
      <c r="B22" s="41"/>
      <c r="C22" s="41"/>
      <c r="D22" s="41"/>
      <c r="E22" s="41"/>
      <c r="F22" s="41"/>
      <c r="G22" s="41"/>
    </row>
  </sheetData>
  <mergeCells count="2">
    <mergeCell ref="A11:G12"/>
    <mergeCell ref="A21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2026-09-02T11:47:45Z</dcterms:created>
  <dc:creator>openpyxl</dc:creator>
  <dc:description/>
  <dc:language>en-US</dc:language>
  <cp:lastModifiedBy/>
  <dcterms:modified xsi:type="dcterms:W3CDTF">2026-09-02T11:47:45Z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