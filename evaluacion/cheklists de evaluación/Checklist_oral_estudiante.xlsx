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l del proyecto" sheetId="1" state="visible" r:id="rId3"/>
    <sheet name="Rúbrica (referencia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<sst xmlns="http://schemas.openxmlformats.org/spreadsheetml/2006/main" count="106" uniqueCount="98">
  <si>
    <t xml:space="preserve">CHECKLIST · EXAMEN ORAL DEL PROYECTO (Ind)</t>
  </si>
  <si>
    <t xml:space="preserve">En cada bloque el profesorado plantea UNA cuestión. Valora la respuesta ítem a ítem: Nulo = 0 · Parcial = 0,5 · Total = 1. Solo puntúa lo que la cuestión haya permitido observar.</t>
  </si>
  <si>
    <t xml:space="preserve">Estudiante:</t>
  </si>
  <si>
    <t xml:space="preserve">Fecha:</t>
  </si>
  <si>
    <t xml:space="preserve">Caso / Proyecto:</t>
  </si>
  <si>
    <t xml:space="preserve">Evaluador/a:</t>
  </si>
  <si>
    <t xml:space="preserve">NOTA DE LA PRUEBA (sobre 10) →</t>
  </si>
  <si>
    <t xml:space="preserve">Condición →</t>
  </si>
  <si>
    <t xml:space="preserve">#</t>
  </si>
  <si>
    <t xml:space="preserve">Cuestión a verificar</t>
  </si>
  <si>
    <t xml:space="preserve">Valoración</t>
  </si>
  <si>
    <t xml:space="preserve">Valor</t>
  </si>
  <si>
    <t xml:space="preserve">Observaciones / evidencia</t>
  </si>
  <si>
    <t xml:space="preserve">  CRITERIO 1 · 1. Justificaciones técnicas e interpretación   —   peso 40%</t>
  </si>
  <si>
    <t xml:space="preserve">  Qué se valora: la justificación de las respuestas dadas y la interpretación solicitada de resultados</t>
  </si>
  <si>
    <t xml:space="preserve">1.1</t>
  </si>
  <si>
    <t xml:space="preserve">Justifica la elección de la familia de distribución y de la función enlace.</t>
  </si>
  <si>
    <t xml:space="preserve">1.2</t>
  </si>
  <si>
    <t xml:space="preserve">Explica por qué el modelo elegido responde a la pregunta planteada.</t>
  </si>
  <si>
    <t xml:space="preserve">1.3</t>
  </si>
  <si>
    <t xml:space="preserve">Interpreta el efecto en la escala correcta (OR, IRR, efecto marginal), no en el predictor lineal.</t>
  </si>
  <si>
    <t xml:space="preserve">1.4</t>
  </si>
  <si>
    <t xml:space="preserve">Traduce la magnitud al lenguaje del problema, no solo al lenguaje estadístico.</t>
  </si>
  <si>
    <t xml:space="preserve">1.5</t>
  </si>
  <si>
    <t xml:space="preserve">Acompaña la estimación de su incertidumbre y la interpreta.</t>
  </si>
  <si>
    <t xml:space="preserve">1.6</t>
  </si>
  <si>
    <t xml:space="preserve">Distingue asociación de causalidad y matiza el alcance de la afirmación.</t>
  </si>
  <si>
    <t xml:space="preserve">Subtotal criterio 1 · cumplimiento y puntuación →</t>
  </si>
  <si>
    <t xml:space="preserve">sobre 3</t>
  </si>
  <si>
    <t xml:space="preserve">  CRITERIO 2 · 2. Solución a un punto débil   —   peso 35%</t>
  </si>
  <si>
    <t xml:space="preserve">  Qué se valora: la solución a uno de los puntos débiles detectados en la corrección</t>
  </si>
  <si>
    <t xml:space="preserve">2.1</t>
  </si>
  <si>
    <t xml:space="preserve">Reconoce el punto débil señalado en la corrección y lo enuncia con precisión.</t>
  </si>
  <si>
    <t xml:space="preserve">2.2</t>
  </si>
  <si>
    <t xml:space="preserve">Explica por qué se produjo: qué supuesto o qué decisión falló.</t>
  </si>
  <si>
    <t xml:space="preserve">2.3</t>
  </si>
  <si>
    <t xml:space="preserve">Propone una solución técnicamente correcta.</t>
  </si>
  <si>
    <t xml:space="preserve">2.4</t>
  </si>
  <si>
    <t xml:space="preserve">Justifica por qué esa solución es adecuada y qué habría cambiado en los resultados.</t>
  </si>
  <si>
    <t xml:space="preserve">Subtotal criterio 2 · cumplimiento y puntuación →</t>
  </si>
  <si>
    <t xml:space="preserve">  CRITERIO 3 · 3. Extensión / nuevos retos   —   peso 25%</t>
  </si>
  <si>
    <t xml:space="preserve">  Qué se valora: una extensión o un nuevo reto sobre el problema ya resuelto</t>
  </si>
  <si>
    <t xml:space="preserve">3.1</t>
  </si>
  <si>
    <t xml:space="preserve">Propone una extensión pertinente al problema, no una idea genérica.</t>
  </si>
  <si>
    <t xml:space="preserve">3.2</t>
  </si>
  <si>
    <t xml:space="preserve">Especifica qué datos o qué modelo requeriría.</t>
  </si>
  <si>
    <t xml:space="preserve">3.3</t>
  </si>
  <si>
    <t xml:space="preserve">Anticipa las dificultades o los supuestos que habría que comprobar.</t>
  </si>
  <si>
    <t xml:space="preserve">3.4</t>
  </si>
  <si>
    <t xml:space="preserve">Conecta la propuesta con la decisión o la implicación práctica.</t>
  </si>
  <si>
    <t xml:space="preserve">Subtotal criterio 3 · cumplimiento y puntuación →</t>
  </si>
  <si>
    <t xml:space="preserve">  RESUMEN Y CALIFICACIÓN</t>
  </si>
  <si>
    <t xml:space="preserve">Criterio</t>
  </si>
  <si>
    <t xml:space="preserve">Peso</t>
  </si>
  <si>
    <t xml:space="preserve">% cumpl.</t>
  </si>
  <si>
    <t xml:space="preserve">Punt. (0–3)</t>
  </si>
  <si>
    <t xml:space="preserve">Punt. continua</t>
  </si>
  <si>
    <t xml:space="preserve">1. Justificaciones técnicas e interpretación</t>
  </si>
  <si>
    <t xml:space="preserve">2. Solución a un punto débil</t>
  </si>
  <si>
    <t xml:space="preserve">3. Extensión / nuevos retos</t>
  </si>
  <si>
    <t xml:space="preserve">Suma de pesos:</t>
  </si>
  <si>
    <t xml:space="preserve">NOTA DE LA PRUEBA (sobre 10)</t>
  </si>
  <si>
    <t xml:space="preserve">Nota continua (referencia, sin redondear a 0–3)</t>
  </si>
  <si>
    <t xml:space="preserve">¿Supera la prueba?</t>
  </si>
  <si>
    <t xml:space="preserve">Condición de superación</t>
  </si>
  <si>
    <t xml:space="preserve">Nota ≥ 3,5 y bloque 1 ≥ 1.</t>
  </si>
  <si>
    <t xml:space="preserve">  PARÁMETROS DE CONVERSIÓN · % de cumplimiento → puntuación (0–3)</t>
  </si>
  <si>
    <t xml:space="preserve">Regla</t>
  </si>
  <si>
    <t xml:space="preserve">Umbral</t>
  </si>
  <si>
    <t xml:space="preserve">Puntuación 3 · Excelente — si el cumplimiento es ≥</t>
  </si>
  <si>
    <t xml:space="preserve">Puntuación 2 · Notable — si el cumplimiento es ≥</t>
  </si>
  <si>
    <t xml:space="preserve">Puntuación 1 · Recuperable — si el cumplimiento es ≥</t>
  </si>
  <si>
    <t xml:space="preserve">Puntuación 0 · Suspenso — por debajo de ese último umbral</t>
  </si>
  <si>
    <t xml:space="preserve">Celdas en azul sobre fondo amarillo = editables (cabecera, pesos y umbrales). El resto son fórmulas: no las sobrescribas.
Criterios, pesos y descriptores proceden de Rubricas_evaluacion.xlsx. Fórmula de la nota, idéntica a la del original: Nota = (Σ pesoᵢ · puntᵢ) / 3 × 10.
Los umbrales de conversión son una propuesta, no proceden de la rúbrica original: ajústalos si tu criterio difiere.</t>
  </si>
  <si>
    <t xml:space="preserve">Rúbricas originales · copia literal</t>
  </si>
  <si>
    <t xml:space="preserve">Copiadas de Rubricas_evaluacion.xlsx. Sirven para contrastar la puntuación derivada del checklist con el descriptor global antes de cerrar la nota.</t>
  </si>
  <si>
    <t xml:space="preserve">  Examen oral del proyecto</t>
  </si>
  <si>
    <t xml:space="preserve">Qué se valora</t>
  </si>
  <si>
    <t xml:space="preserve">0 · Suspenso</t>
  </si>
  <si>
    <t xml:space="preserve">1 · Recuperable</t>
  </si>
  <si>
    <t xml:space="preserve">2 · Notable</t>
  </si>
  <si>
    <t xml:space="preserve">3 · Excelente</t>
  </si>
  <si>
    <t xml:space="preserve">la justificación de las respuestas dadas y la interpretación solicitada de resultados</t>
  </si>
  <si>
    <t xml:space="preserve">No justifica la respuesta o interpreta de forma incorrecta.</t>
  </si>
  <si>
    <t xml:space="preserve">Justifica o interpreta a medias, con errores que no lo invalidan del todo.</t>
  </si>
  <si>
    <t xml:space="preserve">Justifica e interpreta correctamente, con alguna imprecisión menor.</t>
  </si>
  <si>
    <t xml:space="preserve">Justifica con solidez familia/enlace e interpreta en la escala correcta y en lenguaje del problema, con matices.</t>
  </si>
  <si>
    <t xml:space="preserve">la solución a uno de los puntos débiles detectados en la corrección</t>
  </si>
  <si>
    <t xml:space="preserve">No reconoce el punto débil o no aporta una solución válida.</t>
  </si>
  <si>
    <t xml:space="preserve">Reconoce el problema, pero la solución es vaga o solo parcialmente correcta.</t>
  </si>
  <si>
    <t xml:space="preserve">Explica la solución correctamente, aunque sin toda la profundidad.</t>
  </si>
  <si>
    <t xml:space="preserve">Identifica el punto débil y explica con claridad la solución y por qué es adecuada.</t>
  </si>
  <si>
    <t xml:space="preserve">una extensión o un nuevo reto sobre el problema ya resuelto</t>
  </si>
  <si>
    <t xml:space="preserve">No aporta.</t>
  </si>
  <si>
    <t xml:space="preserve">Respuesta genérica o superficial.</t>
  </si>
  <si>
    <t xml:space="preserve">Aporta una idea razonable, aunque poco desarrollada.</t>
  </si>
  <si>
    <t xml:space="preserve">Propone una extensión pertinente y bien razonada ante el nuevo reto.</t>
  </si>
  <si>
    <t xml:space="preserve">Mínimo de la prueba: E ≥ 3,5/10 y bloque 1 distinto de 0 (no puede dejarse en blanco la justificación/interpretación). Conversión: E = (0,40·B1 + 0,35·B2 + 0,25·B3)/3×10.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</si>
</sst>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F56C4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2C2C2A"/>
      <name val="Arial"/>
      <family val="0"/>
      <charset val="1"/>
    </font>
    <font>
      <b val="true"/>
      <sz val="16"/>
      <color rgb="FF5F56C4"/>
      <name val="Arial"/>
      <family val="0"/>
      <charset val="1"/>
    </font>
    <font>
      <b val="true"/>
      <sz val="10"/>
      <color rgb="FF9935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C3489"/>
      <name val="Arial"/>
      <family val="0"/>
      <charset val="1"/>
    </font>
    <font>
      <b val="true"/>
      <sz val="9"/>
      <color rgb="FF5F5E5A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5F56C4"/>
      <name val="Arial"/>
      <family val="0"/>
      <charset val="1"/>
    </font>
    <font>
      <b val="true"/>
      <sz val="11"/>
      <color rgb="FF5F56C4"/>
      <name val="Arial"/>
      <family val="0"/>
      <charset val="1"/>
    </font>
    <font>
      <b val="true"/>
      <sz val="12"/>
      <color rgb="FF5F56C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5F56C4"/>
      <name val="Arial"/>
      <family val="0"/>
      <charset val="1"/>
    </font>
    <font>
      <b val="true"/>
      <sz val="9"/>
      <color rgb="FF2C2C2A"/>
      <name val="Arial"/>
      <family val="0"/>
      <charset val="1"/>
    </font>
    <font>
      <sz val="9"/>
      <color rgb="FF2C2C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6"/>
        <bgColor rgb="FFFDF0D5"/>
      </patternFill>
    </fill>
    <fill>
      <patternFill patternType="solid">
        <fgColor rgb="FFEEEDFE"/>
        <bgColor rgb="FFDFF2E1"/>
      </patternFill>
    </fill>
    <fill>
      <patternFill patternType="solid">
        <fgColor rgb="FF5F56C4"/>
        <bgColor rgb="FF3366FF"/>
      </patternFill>
    </fill>
    <fill>
      <patternFill patternType="solid">
        <fgColor rgb="FFAFA9EC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ECBF6"/>
      </left>
      <right style="thin">
        <color rgb="FFCECBF6"/>
      </right>
      <top style="thin">
        <color rgb="FFCECBF6"/>
      </top>
      <bottom style="thin">
        <color rgb="FFCECBF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8B2A3E"/>
        <sz val="10"/>
      </font>
      <fill>
        <patternFill>
          <bgColor rgb="FFF8D7DC"/>
        </patternFill>
      </fill>
    </dxf>
    <dxf>
      <font>
        <name val="Arial"/>
        <charset val="1"/>
        <family val="0"/>
        <b val="1"/>
        <color rgb="FF8A5A00"/>
        <sz val="1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1F6B37"/>
        <sz val="10"/>
      </font>
      <fill>
        <patternFill>
          <bgColor rgb="FFDFF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7"/>
      <rgbColor rgb="FF000080"/>
      <rgbColor rgb="FF8A5A00"/>
      <rgbColor rgb="FF800080"/>
      <rgbColor rgb="FF008080"/>
      <rgbColor rgb="FFC0C0C0"/>
      <rgbColor rgb="FF5F5E5A"/>
      <rgbColor rgb="FFAFA9EC"/>
      <rgbColor rgb="FF993556"/>
      <rgbColor rgb="FFFFF9D6"/>
      <rgbColor rgb="FFEEEDFE"/>
      <rgbColor rgb="FF660066"/>
      <rgbColor rgb="FFFF8080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E1"/>
      <rgbColor rgb="FFFDF0D5"/>
      <rgbColor rgb="FF99CCFF"/>
      <rgbColor rgb="FFFF99CC"/>
      <rgbColor rgb="FFCC99FF"/>
      <rgbColor rgb="FFF8D7DC"/>
      <rgbColor rgb="FF3366FF"/>
      <rgbColor rgb="FF33CCCC"/>
      <rgbColor rgb="FF99CC00"/>
      <rgbColor rgb="FFFFCC00"/>
      <rgbColor rgb="FFFF9900"/>
      <rgbColor rgb="FFFF6600"/>
      <rgbColor rgb="FF5F56C4"/>
      <rgbColor rgb="FF969696"/>
      <rgbColor rgb="FF003366"/>
      <rgbColor rgb="FF339966"/>
      <rgbColor rgb="FF003300"/>
      <rgbColor rgb="FF333300"/>
      <rgbColor rgb="FF993300"/>
      <rgbColor rgb="FF8B2A3E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/>
      <c r="D3" s="5" t="s">
        <v>3</v>
      </c>
      <c r="E3" s="4"/>
    </row>
    <row r="4" customFormat="false" ht="15" hidden="false" customHeight="false" outlineLevel="0" collapsed="false">
      <c r="A4" s="3" t="s">
        <v>4</v>
      </c>
      <c r="C4" s="4"/>
      <c r="D4" s="5" t="s">
        <v>5</v>
      </c>
      <c r="E4" s="4"/>
    </row>
    <row r="6" customFormat="false" ht="24" hidden="false" customHeight="true" outlineLevel="0" collapsed="false">
      <c r="B6" s="6" t="s">
        <v>6</v>
      </c>
      <c r="C6" s="7" t="str">
        <f aca="false">D42</f>
        <v>—</v>
      </c>
      <c r="E6" s="8" t="str">
        <f aca="false">D44</f>
        <v>—</v>
      </c>
    </row>
    <row r="7" customFormat="false" ht="15" hidden="false" customHeight="false" outlineLevel="0" collapsed="false">
      <c r="B7" s="5" t="s">
        <v>7</v>
      </c>
      <c r="C7" s="9" t="str">
        <f aca="false">D45</f>
        <v>Nota ≥ 3,5 y bloque 1 ≥ 1.</v>
      </c>
    </row>
    <row r="8" customFormat="false" ht="15" hidden="false" customHeight="false" outlineLevel="0" collapsed="false">
      <c r="A8" s="10" t="s">
        <v>8</v>
      </c>
      <c r="B8" s="11" t="s">
        <v>9</v>
      </c>
      <c r="C8" s="10" t="s">
        <v>10</v>
      </c>
      <c r="D8" s="10" t="s">
        <v>11</v>
      </c>
      <c r="E8" s="10" t="s">
        <v>12</v>
      </c>
    </row>
    <row r="9" customFormat="false" ht="21.75" hidden="false" customHeight="true" outlineLevel="0" collapsed="false">
      <c r="A9" s="12" t="s">
        <v>13</v>
      </c>
      <c r="B9" s="12"/>
      <c r="C9" s="12"/>
      <c r="D9" s="12"/>
      <c r="E9" s="12"/>
    </row>
    <row r="10" customFormat="false" ht="21" hidden="false" customHeight="true" outlineLevel="0" collapsed="false">
      <c r="A10" s="13" t="s">
        <v>14</v>
      </c>
      <c r="B10" s="13"/>
      <c r="C10" s="13"/>
      <c r="D10" s="13"/>
      <c r="E10" s="13"/>
    </row>
    <row r="11" customFormat="false" ht="25.5" hidden="false" customHeight="true" outlineLevel="0" collapsed="false">
      <c r="A11" s="14" t="s">
        <v>15</v>
      </c>
      <c r="B11" s="15" t="s">
        <v>16</v>
      </c>
      <c r="C11" s="16"/>
      <c r="D11" s="17" t="str">
        <f aca="false">IF(C11="","",IF(C11="Total cumplimiento",1,IF(C11="Cumplimiento parcial",0.5,0)))</f>
        <v/>
      </c>
      <c r="E11" s="18"/>
    </row>
    <row r="12" customFormat="false" ht="25.5" hidden="false" customHeight="true" outlineLevel="0" collapsed="false">
      <c r="A12" s="14" t="s">
        <v>17</v>
      </c>
      <c r="B12" s="15" t="s">
        <v>18</v>
      </c>
      <c r="C12" s="16"/>
      <c r="D12" s="17" t="str">
        <f aca="false">IF(C12="","",IF(C12="Total cumplimiento",1,IF(C12="Cumplimiento parcial",0.5,0)))</f>
        <v/>
      </c>
      <c r="E12" s="18"/>
    </row>
    <row r="13" customFormat="false" ht="36" hidden="false" customHeight="true" outlineLevel="0" collapsed="false">
      <c r="A13" s="14" t="s">
        <v>19</v>
      </c>
      <c r="B13" s="15" t="s">
        <v>20</v>
      </c>
      <c r="C13" s="16"/>
      <c r="D13" s="17" t="str">
        <f aca="false">IF(C13="","",IF(C13="Total cumplimiento",1,IF(C13="Cumplimiento parcial",0.5,0)))</f>
        <v/>
      </c>
      <c r="E13" s="18"/>
    </row>
    <row r="14" customFormat="false" ht="25.5" hidden="false" customHeight="true" outlineLevel="0" collapsed="false">
      <c r="A14" s="14" t="s">
        <v>21</v>
      </c>
      <c r="B14" s="15" t="s">
        <v>22</v>
      </c>
      <c r="C14" s="16"/>
      <c r="D14" s="17" t="str">
        <f aca="false">IF(C14="","",IF(C14="Total cumplimiento",1,IF(C14="Cumplimiento parcial",0.5,0)))</f>
        <v/>
      </c>
      <c r="E14" s="18"/>
    </row>
    <row r="15" customFormat="false" ht="25.5" hidden="false" customHeight="true" outlineLevel="0" collapsed="false">
      <c r="A15" s="14" t="s">
        <v>23</v>
      </c>
      <c r="B15" s="15" t="s">
        <v>24</v>
      </c>
      <c r="C15" s="16"/>
      <c r="D15" s="17" t="str">
        <f aca="false">IF(C15="","",IF(C15="Total cumplimiento",1,IF(C15="Cumplimiento parcial",0.5,0)))</f>
        <v/>
      </c>
      <c r="E15" s="18"/>
    </row>
    <row r="16" customFormat="false" ht="25.5" hidden="false" customHeight="true" outlineLevel="0" collapsed="false">
      <c r="A16" s="14" t="s">
        <v>25</v>
      </c>
      <c r="B16" s="15" t="s">
        <v>26</v>
      </c>
      <c r="C16" s="16"/>
      <c r="D16" s="17" t="str">
        <f aca="false">IF(C16="","",IF(C16="Total cumplimiento",1,IF(C16="Cumplimiento parcial",0.5,0)))</f>
        <v/>
      </c>
      <c r="E16" s="18"/>
    </row>
    <row r="17" customFormat="false" ht="15" hidden="false" customHeight="false" outlineLevel="0" collapsed="false">
      <c r="B17" s="19" t="s">
        <v>27</v>
      </c>
      <c r="C17" s="20" t="str">
        <f aca="false">IF(COUNT(D11:D16)&lt;6,"",AVERAGE(D11:D16))</f>
        <v/>
      </c>
      <c r="D17" s="21" t="str">
        <f aca="false">IF(C17="","",IF(C17&gt;=$D$50,3,IF(C17&gt;=$D$51,2,IF(C17&gt;=$D$52,1,0))))</f>
        <v/>
      </c>
      <c r="E17" s="22" t="s">
        <v>28</v>
      </c>
    </row>
    <row r="19" customFormat="false" ht="21.75" hidden="false" customHeight="true" outlineLevel="0" collapsed="false">
      <c r="A19" s="12" t="s">
        <v>29</v>
      </c>
      <c r="B19" s="12"/>
      <c r="C19" s="12"/>
      <c r="D19" s="12"/>
      <c r="E19" s="12"/>
    </row>
    <row r="20" customFormat="false" ht="21" hidden="false" customHeight="true" outlineLevel="0" collapsed="false">
      <c r="A20" s="13" t="s">
        <v>30</v>
      </c>
      <c r="B20" s="13"/>
      <c r="C20" s="13"/>
      <c r="D20" s="13"/>
      <c r="E20" s="13"/>
    </row>
    <row r="21" customFormat="false" ht="25.5" hidden="false" customHeight="true" outlineLevel="0" collapsed="false">
      <c r="A21" s="14" t="s">
        <v>31</v>
      </c>
      <c r="B21" s="15" t="s">
        <v>32</v>
      </c>
      <c r="C21" s="16"/>
      <c r="D21" s="17" t="str">
        <f aca="false">IF(C21="","",IF(C21="Total cumplimiento",1,IF(C21="Cumplimiento parcial",0.5,0)))</f>
        <v/>
      </c>
      <c r="E21" s="18"/>
    </row>
    <row r="22" customFormat="false" ht="25.5" hidden="false" customHeight="true" outlineLevel="0" collapsed="false">
      <c r="A22" s="14" t="s">
        <v>33</v>
      </c>
      <c r="B22" s="15" t="s">
        <v>34</v>
      </c>
      <c r="C22" s="16"/>
      <c r="D22" s="17" t="str">
        <f aca="false">IF(C22="","",IF(C22="Total cumplimiento",1,IF(C22="Cumplimiento parcial",0.5,0)))</f>
        <v/>
      </c>
      <c r="E22" s="18"/>
    </row>
    <row r="23" customFormat="false" ht="25.5" hidden="false" customHeight="true" outlineLevel="0" collapsed="false">
      <c r="A23" s="14" t="s">
        <v>35</v>
      </c>
      <c r="B23" s="15" t="s">
        <v>36</v>
      </c>
      <c r="C23" s="16"/>
      <c r="D23" s="17" t="str">
        <f aca="false">IF(C23="","",IF(C23="Total cumplimiento",1,IF(C23="Cumplimiento parcial",0.5,0)))</f>
        <v/>
      </c>
      <c r="E23" s="18"/>
    </row>
    <row r="24" customFormat="false" ht="25.5" hidden="false" customHeight="true" outlineLevel="0" collapsed="false">
      <c r="A24" s="14" t="s">
        <v>37</v>
      </c>
      <c r="B24" s="15" t="s">
        <v>38</v>
      </c>
      <c r="C24" s="16"/>
      <c r="D24" s="17" t="str">
        <f aca="false">IF(C24="","",IF(C24="Total cumplimiento",1,IF(C24="Cumplimiento parcial",0.5,0)))</f>
        <v/>
      </c>
      <c r="E24" s="18"/>
    </row>
    <row r="25" customFormat="false" ht="15" hidden="false" customHeight="false" outlineLevel="0" collapsed="false">
      <c r="B25" s="19" t="s">
        <v>39</v>
      </c>
      <c r="C25" s="20" t="str">
        <f aca="false">IF(COUNT(D21:D24)&lt;4,"",AVERAGE(D21:D24))</f>
        <v/>
      </c>
      <c r="D25" s="21" t="str">
        <f aca="false">IF(C25="","",IF(C25&gt;=$D$50,3,IF(C25&gt;=$D$51,2,IF(C25&gt;=$D$52,1,0))))</f>
        <v/>
      </c>
      <c r="E25" s="22" t="s">
        <v>28</v>
      </c>
    </row>
    <row r="27" customFormat="false" ht="21.75" hidden="false" customHeight="true" outlineLevel="0" collapsed="false">
      <c r="A27" s="12" t="s">
        <v>40</v>
      </c>
      <c r="B27" s="12"/>
      <c r="C27" s="12"/>
      <c r="D27" s="12"/>
      <c r="E27" s="12"/>
    </row>
    <row r="28" customFormat="false" ht="21" hidden="false" customHeight="true" outlineLevel="0" collapsed="false">
      <c r="A28" s="13" t="s">
        <v>41</v>
      </c>
      <c r="B28" s="13"/>
      <c r="C28" s="13"/>
      <c r="D28" s="13"/>
      <c r="E28" s="13"/>
    </row>
    <row r="29" customFormat="false" ht="25.5" hidden="false" customHeight="true" outlineLevel="0" collapsed="false">
      <c r="A29" s="14" t="s">
        <v>42</v>
      </c>
      <c r="B29" s="15" t="s">
        <v>43</v>
      </c>
      <c r="C29" s="16"/>
      <c r="D29" s="17" t="str">
        <f aca="false">IF(C29="","",IF(C29="Total cumplimiento",1,IF(C29="Cumplimiento parcial",0.5,0)))</f>
        <v/>
      </c>
      <c r="E29" s="18"/>
    </row>
    <row r="30" customFormat="false" ht="25.5" hidden="false" customHeight="true" outlineLevel="0" collapsed="false">
      <c r="A30" s="14" t="s">
        <v>44</v>
      </c>
      <c r="B30" s="15" t="s">
        <v>45</v>
      </c>
      <c r="C30" s="16"/>
      <c r="D30" s="17" t="str">
        <f aca="false">IF(C30="","",IF(C30="Total cumplimiento",1,IF(C30="Cumplimiento parcial",0.5,0)))</f>
        <v/>
      </c>
      <c r="E30" s="18"/>
    </row>
    <row r="31" customFormat="false" ht="25.5" hidden="false" customHeight="true" outlineLevel="0" collapsed="false">
      <c r="A31" s="14" t="s">
        <v>46</v>
      </c>
      <c r="B31" s="15" t="s">
        <v>47</v>
      </c>
      <c r="C31" s="16"/>
      <c r="D31" s="17" t="str">
        <f aca="false">IF(C31="","",IF(C31="Total cumplimiento",1,IF(C31="Cumplimiento parcial",0.5,0)))</f>
        <v/>
      </c>
      <c r="E31" s="18"/>
    </row>
    <row r="32" customFormat="false" ht="25.5" hidden="false" customHeight="true" outlineLevel="0" collapsed="false">
      <c r="A32" s="14" t="s">
        <v>48</v>
      </c>
      <c r="B32" s="15" t="s">
        <v>49</v>
      </c>
      <c r="C32" s="16"/>
      <c r="D32" s="17" t="str">
        <f aca="false">IF(C32="","",IF(C32="Total cumplimiento",1,IF(C32="Cumplimiento parcial",0.5,0)))</f>
        <v/>
      </c>
      <c r="E32" s="18"/>
    </row>
    <row r="33" customFormat="false" ht="15" hidden="false" customHeight="false" outlineLevel="0" collapsed="false">
      <c r="B33" s="19" t="s">
        <v>50</v>
      </c>
      <c r="C33" s="20" t="str">
        <f aca="false">IF(COUNT(D29:D32)&lt;4,"",AVERAGE(D29:D32))</f>
        <v/>
      </c>
      <c r="D33" s="21" t="str">
        <f aca="false">IF(C33="","",IF(C33&gt;=$D$50,3,IF(C33&gt;=$D$51,2,IF(C33&gt;=$D$52,1,0))))</f>
        <v/>
      </c>
      <c r="E33" s="22" t="s">
        <v>28</v>
      </c>
    </row>
    <row r="35" customFormat="false" ht="24" hidden="false" customHeight="true" outlineLevel="0" collapsed="false">
      <c r="A35" s="23" t="s">
        <v>51</v>
      </c>
      <c r="B35" s="23"/>
      <c r="C35" s="23"/>
      <c r="D35" s="23"/>
      <c r="E35" s="23"/>
      <c r="F35" s="23"/>
    </row>
    <row r="36" customFormat="false" ht="15" hidden="false" customHeight="false" outlineLevel="0" collapsed="false">
      <c r="A36" s="24" t="s">
        <v>8</v>
      </c>
      <c r="B36" s="25" t="s">
        <v>52</v>
      </c>
      <c r="C36" s="24" t="s">
        <v>53</v>
      </c>
      <c r="D36" s="24" t="s">
        <v>54</v>
      </c>
      <c r="E36" s="24" t="s">
        <v>55</v>
      </c>
      <c r="F36" s="24" t="s">
        <v>56</v>
      </c>
    </row>
    <row r="37" customFormat="false" ht="15" hidden="false" customHeight="false" outlineLevel="0" collapsed="false">
      <c r="A37" s="14" t="n">
        <v>1</v>
      </c>
      <c r="B37" s="26" t="s">
        <v>57</v>
      </c>
      <c r="C37" s="27" t="n">
        <v>0.4</v>
      </c>
      <c r="D37" s="28" t="str">
        <f aca="false">C17</f>
        <v/>
      </c>
      <c r="E37" s="29" t="str">
        <f aca="false">D17</f>
        <v/>
      </c>
      <c r="F37" s="30" t="str">
        <f aca="false">IF(D37="","",ROUND(D37*3,2))</f>
        <v/>
      </c>
    </row>
    <row r="38" customFormat="false" ht="15" hidden="false" customHeight="false" outlineLevel="0" collapsed="false">
      <c r="A38" s="14" t="n">
        <v>2</v>
      </c>
      <c r="B38" s="26" t="s">
        <v>58</v>
      </c>
      <c r="C38" s="27" t="n">
        <v>0.35</v>
      </c>
      <c r="D38" s="28" t="str">
        <f aca="false">C25</f>
        <v/>
      </c>
      <c r="E38" s="29" t="str">
        <f aca="false">D25</f>
        <v/>
      </c>
      <c r="F38" s="30" t="str">
        <f aca="false">IF(D38="","",ROUND(D38*3,2))</f>
        <v/>
      </c>
    </row>
    <row r="39" customFormat="false" ht="15" hidden="false" customHeight="false" outlineLevel="0" collapsed="false">
      <c r="A39" s="14" t="n">
        <v>3</v>
      </c>
      <c r="B39" s="26" t="s">
        <v>59</v>
      </c>
      <c r="C39" s="27" t="n">
        <v>0.25</v>
      </c>
      <c r="D39" s="28" t="str">
        <f aca="false">C33</f>
        <v/>
      </c>
      <c r="E39" s="29" t="str">
        <f aca="false">D33</f>
        <v/>
      </c>
      <c r="F39" s="30" t="str">
        <f aca="false">IF(D39="","",ROUND(D39*3,2))</f>
        <v/>
      </c>
    </row>
    <row r="40" customFormat="false" ht="15" hidden="false" customHeight="false" outlineLevel="0" collapsed="false">
      <c r="C40" s="31" t="s">
        <v>60</v>
      </c>
      <c r="D40" s="32" t="n">
        <f aca="false">SUM(C37:C39)</f>
        <v>1</v>
      </c>
    </row>
    <row r="42" customFormat="false" ht="17.35" hidden="false" customHeight="false" outlineLevel="0" collapsed="false">
      <c r="B42" s="33" t="s">
        <v>61</v>
      </c>
      <c r="D42" s="34" t="str">
        <f aca="false">IF(COUNT(E37:E39)&lt;3,"—",ROUND(SUMPRODUCT(C37:C39,E37:E39)/3*10,2))</f>
        <v>—</v>
      </c>
    </row>
    <row r="43" customFormat="false" ht="15" hidden="false" customHeight="false" outlineLevel="0" collapsed="false">
      <c r="B43" s="5" t="s">
        <v>62</v>
      </c>
      <c r="D43" s="30" t="str">
        <f aca="false">IF(COUNT(F37:F39)&lt;3,"—",ROUND(SUMPRODUCT(C37:C39,F37:F39)/3*10,2))</f>
        <v>—</v>
      </c>
    </row>
    <row r="44" customFormat="false" ht="15" hidden="false" customHeight="false" outlineLevel="0" collapsed="false">
      <c r="B44" s="5" t="s">
        <v>63</v>
      </c>
      <c r="D44" s="35" t="str">
        <f aca="false">IF(ISNUMBER(D42),IF(AND(D42&gt;=3.5,E37&gt;=1),"Supera","No supera"),"—")</f>
        <v>—</v>
      </c>
    </row>
    <row r="45" customFormat="false" ht="15" hidden="false" customHeight="false" outlineLevel="0" collapsed="false">
      <c r="B45" s="36" t="s">
        <v>64</v>
      </c>
      <c r="D45" s="9" t="s">
        <v>65</v>
      </c>
    </row>
    <row r="48" customFormat="false" ht="15" hidden="false" customHeight="false" outlineLevel="0" collapsed="false">
      <c r="A48" s="37" t="s">
        <v>66</v>
      </c>
      <c r="B48" s="37"/>
      <c r="C48" s="37"/>
      <c r="D48" s="37"/>
      <c r="E48" s="37"/>
      <c r="F48" s="37"/>
    </row>
    <row r="49" customFormat="false" ht="15" hidden="false" customHeight="false" outlineLevel="0" collapsed="false">
      <c r="A49" s="24"/>
      <c r="B49" s="38" t="s">
        <v>67</v>
      </c>
      <c r="C49" s="24"/>
      <c r="D49" s="24" t="s">
        <v>68</v>
      </c>
      <c r="E49" s="24"/>
      <c r="F49" s="24"/>
    </row>
    <row r="50" customFormat="false" ht="15" hidden="false" customHeight="false" outlineLevel="0" collapsed="false">
      <c r="A50" s="26"/>
      <c r="B50" s="39" t="s">
        <v>69</v>
      </c>
      <c r="C50" s="26"/>
      <c r="D50" s="40" t="n">
        <v>0.85</v>
      </c>
    </row>
    <row r="51" customFormat="false" ht="15" hidden="false" customHeight="false" outlineLevel="0" collapsed="false">
      <c r="A51" s="26"/>
      <c r="B51" s="39" t="s">
        <v>70</v>
      </c>
      <c r="C51" s="26"/>
      <c r="D51" s="40" t="n">
        <v>0.65</v>
      </c>
    </row>
    <row r="52" customFormat="false" ht="15" hidden="false" customHeight="false" outlineLevel="0" collapsed="false">
      <c r="A52" s="26"/>
      <c r="B52" s="39" t="s">
        <v>71</v>
      </c>
      <c r="C52" s="26"/>
      <c r="D52" s="40" t="n">
        <v>0.4</v>
      </c>
    </row>
    <row r="53" customFormat="false" ht="15" hidden="false" customHeight="false" outlineLevel="0" collapsed="false">
      <c r="A53" s="26"/>
      <c r="B53" s="39" t="s">
        <v>72</v>
      </c>
      <c r="C53" s="26"/>
      <c r="D53" s="40"/>
    </row>
    <row r="54" customFormat="false" ht="15" hidden="false" customHeight="true" outlineLevel="0" collapsed="false">
      <c r="A54" s="41" t="s">
        <v>73</v>
      </c>
      <c r="B54" s="41"/>
      <c r="C54" s="41"/>
      <c r="D54" s="41"/>
      <c r="E54" s="41"/>
      <c r="F54" s="41"/>
    </row>
    <row r="55" customFormat="false" ht="15" hidden="false" customHeight="true" outlineLevel="0" collapsed="false">
      <c r="A55" s="41"/>
      <c r="B55" s="41"/>
      <c r="C55" s="41"/>
      <c r="D55" s="41"/>
      <c r="E55" s="41"/>
      <c r="F55" s="41"/>
    </row>
    <row r="56" customFormat="false" ht="15" hidden="false" customHeight="true" outlineLevel="0" collapsed="false">
      <c r="A56" s="41"/>
      <c r="B56" s="41"/>
      <c r="C56" s="41"/>
      <c r="D56" s="41"/>
      <c r="E56" s="41"/>
      <c r="F56" s="41"/>
    </row>
  </sheetData>
  <mergeCells count="9">
    <mergeCell ref="A9:E9"/>
    <mergeCell ref="A10:E10"/>
    <mergeCell ref="A19:E19"/>
    <mergeCell ref="A20:E20"/>
    <mergeCell ref="A27:E27"/>
    <mergeCell ref="A28:E28"/>
    <mergeCell ref="A35:F35"/>
    <mergeCell ref="A48:F48"/>
    <mergeCell ref="A54:F56"/>
  </mergeCells>
  <conditionalFormatting sqref="C11:C16">
    <cfRule type="cellIs" priority="2" operator="equal" aboveAverage="0" equalAverage="0" bottom="0" percent="0" rank="0" text="" dxfId="0">
      <formula>"Nulo cumplimiento"</formula>
    </cfRule>
    <cfRule type="cellIs" priority="3" operator="equal" aboveAverage="0" equalAverage="0" bottom="0" percent="0" rank="0" text="" dxfId="1">
      <formula>"Cumplimiento parcial"</formula>
    </cfRule>
    <cfRule type="cellIs" priority="4" operator="equal" aboveAverage="0" equalAverage="0" bottom="0" percent="0" rank="0" text="" dxfId="2">
      <formula>"Total cumplimiento"</formula>
    </cfRule>
  </conditionalFormatting>
  <conditionalFormatting sqref="C21:C24">
    <cfRule type="cellIs" priority="5" operator="equal" aboveAverage="0" equalAverage="0" bottom="0" percent="0" rank="0" text="" dxfId="0">
      <formula>"Nulo cumplimiento"</formula>
    </cfRule>
    <cfRule type="cellIs" priority="6" operator="equal" aboveAverage="0" equalAverage="0" bottom="0" percent="0" rank="0" text="" dxfId="1">
      <formula>"Cumplimiento parcial"</formula>
    </cfRule>
    <cfRule type="cellIs" priority="7" operator="equal" aboveAverage="0" equalAverage="0" bottom="0" percent="0" rank="0" text="" dxfId="2">
      <formula>"Total cumplimiento"</formula>
    </cfRule>
  </conditionalFormatting>
  <conditionalFormatting sqref="C29:C32">
    <cfRule type="cellIs" priority="8" operator="equal" aboveAverage="0" equalAverage="0" bottom="0" percent="0" rank="0" text="" dxfId="0">
      <formula>"Nulo cumplimiento"</formula>
    </cfRule>
    <cfRule type="cellIs" priority="9" operator="equal" aboveAverage="0" equalAverage="0" bottom="0" percent="0" rank="0" text="" dxfId="1">
      <formula>"Cumplimiento parcial"</formula>
    </cfRule>
    <cfRule type="cellIs" priority="10" operator="equal" aboveAverage="0" equalAverage="0" bottom="0" percent="0" rank="0" text="" dxfId="2">
      <formula>"Total cumplimiento"</formula>
    </cfRule>
  </conditionalFormatting>
  <dataValidations count="1">
    <dataValidation allowBlank="true" error="Elige un valor de la lista desplegable." errorStyle="stop" errorTitle="Valor no admitido" operator="between" showDropDown="false" showErrorMessage="false" showInputMessage="false" sqref="C11:C16 C21:C24 C29:C32" type="list">
      <formula1>"Nulo cumplimiento,Cumplimiento parcial,Total cumplimiento"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7" min="4" style="0" width="30"/>
  </cols>
  <sheetData>
    <row r="1" customFormat="false" ht="16.15" hidden="false" customHeight="false" outlineLevel="0" collapsed="false">
      <c r="A1" s="42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43" t="s">
        <v>76</v>
      </c>
      <c r="B4" s="43"/>
      <c r="C4" s="43"/>
      <c r="D4" s="43"/>
      <c r="E4" s="43"/>
      <c r="F4" s="43"/>
      <c r="G4" s="43"/>
    </row>
    <row r="5" customFormat="false" ht="15" hidden="false" customHeight="false" outlineLevel="0" collapsed="false">
      <c r="A5" s="44" t="s">
        <v>52</v>
      </c>
      <c r="B5" s="44" t="s">
        <v>77</v>
      </c>
      <c r="C5" s="44" t="s">
        <v>53</v>
      </c>
      <c r="D5" s="44" t="s">
        <v>78</v>
      </c>
      <c r="E5" s="44" t="s">
        <v>79</v>
      </c>
      <c r="F5" s="44" t="s">
        <v>80</v>
      </c>
      <c r="G5" s="44" t="s">
        <v>81</v>
      </c>
    </row>
    <row r="6" customFormat="false" ht="96" hidden="false" customHeight="true" outlineLevel="0" collapsed="false">
      <c r="A6" s="45" t="s">
        <v>57</v>
      </c>
      <c r="B6" s="46" t="s">
        <v>82</v>
      </c>
      <c r="C6" s="47" t="n">
        <v>0.4</v>
      </c>
      <c r="D6" s="46" t="s">
        <v>83</v>
      </c>
      <c r="E6" s="46" t="s">
        <v>84</v>
      </c>
      <c r="F6" s="46" t="s">
        <v>85</v>
      </c>
      <c r="G6" s="46" t="s">
        <v>86</v>
      </c>
    </row>
    <row r="7" customFormat="false" ht="96" hidden="false" customHeight="true" outlineLevel="0" collapsed="false">
      <c r="A7" s="45" t="s">
        <v>58</v>
      </c>
      <c r="B7" s="46" t="s">
        <v>87</v>
      </c>
      <c r="C7" s="47" t="n">
        <v>0.35</v>
      </c>
      <c r="D7" s="46" t="s">
        <v>88</v>
      </c>
      <c r="E7" s="46" t="s">
        <v>89</v>
      </c>
      <c r="F7" s="46" t="s">
        <v>90</v>
      </c>
      <c r="G7" s="46" t="s">
        <v>91</v>
      </c>
    </row>
    <row r="8" customFormat="false" ht="96" hidden="false" customHeight="true" outlineLevel="0" collapsed="false">
      <c r="A8" s="45" t="s">
        <v>59</v>
      </c>
      <c r="B8" s="46" t="s">
        <v>92</v>
      </c>
      <c r="C8" s="47" t="n">
        <v>0.25</v>
      </c>
      <c r="D8" s="46" t="s">
        <v>93</v>
      </c>
      <c r="E8" s="46" t="s">
        <v>94</v>
      </c>
      <c r="F8" s="46" t="s">
        <v>95</v>
      </c>
      <c r="G8" s="46" t="s">
        <v>96</v>
      </c>
    </row>
    <row r="9" customFormat="false" ht="15" hidden="false" customHeight="true" outlineLevel="0" collapsed="false">
      <c r="A9" s="41" t="s">
        <v>97</v>
      </c>
      <c r="B9" s="41"/>
      <c r="C9" s="41"/>
      <c r="D9" s="41"/>
      <c r="E9" s="41"/>
      <c r="F9" s="41"/>
      <c r="G9" s="41"/>
    </row>
    <row r="10" customFormat="false" ht="15" hidden="false" customHeight="false" outlineLevel="0" collapsed="false">
      <c r="A10" s="41"/>
      <c r="B10" s="41"/>
      <c r="C10" s="41"/>
      <c r="D10" s="41"/>
      <c r="E10" s="41"/>
      <c r="F10" s="41"/>
      <c r="G10" s="41"/>
    </row>
  </sheetData>
  <mergeCells count="1">
    <mergeCell ref="A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2026-09-02T11:47:45Z</dcterms:created>
  <dc:creator>openpyxl</dc:creator>
  <dc:description/>
  <dc:language>en-US</dc:language>
  <cp:lastModifiedBy/>
  <dcterms:modified xsi:type="dcterms:W3CDTF">2026-09-02T11:47:45Z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