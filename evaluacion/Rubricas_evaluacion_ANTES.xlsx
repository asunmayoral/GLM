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estaurador/Claude/Projects/GLM/evaluacion/"/>
    </mc:Choice>
  </mc:AlternateContent>
  <xr:revisionPtr revIDLastSave="0" documentId="13_ncr:1_{AD23A587-33AD-AC42-8A58-FA2333FE6E68}" xr6:coauthVersionLast="47" xr6:coauthVersionMax="47" xr10:uidLastSave="{00000000-0000-0000-0000-000000000000}"/>
  <bookViews>
    <workbookView xWindow="5120" yWindow="500" windowWidth="35840" windowHeight="20840" activeTab="6" xr2:uid="{00000000-000D-0000-FFFF-FFFF00000000}"/>
  </bookViews>
  <sheets>
    <sheet name="Índice" sheetId="1" r:id="rId1"/>
    <sheet name="organigrama" sheetId="2" r:id="rId2"/>
    <sheet name="Informe" sheetId="3" r:id="rId3"/>
    <sheet name="Exposición y defensa" sheetId="4" r:id="rId4"/>
    <sheet name="Oral – proyecto" sheetId="5" r:id="rId5"/>
    <sheet name="Examen final – informe" sheetId="6" r:id="rId6"/>
    <sheet name="Examen final – or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12" i="7" s="1"/>
  <c r="C12" i="6"/>
  <c r="C13" i="6" s="1"/>
  <c r="C11" i="5"/>
  <c r="C12" i="5" s="1"/>
  <c r="C13" i="4"/>
  <c r="C14" i="4" s="1"/>
  <c r="C13" i="3"/>
  <c r="C14" i="3" s="1"/>
</calcChain>
</file>

<file path=xl/sharedStrings.xml><?xml version="1.0" encoding="utf-8"?>
<sst xmlns="http://schemas.openxmlformats.org/spreadsheetml/2006/main" count="245" uniqueCount="185">
  <si>
    <t>Tipo de evaluación</t>
  </si>
  <si>
    <t>Rúbricas de calificación · GLM con R</t>
  </si>
  <si>
    <t>Contenidos</t>
  </si>
  <si>
    <t>Evaluación</t>
  </si>
  <si>
    <t>Peso</t>
  </si>
  <si>
    <t>Cada hoja contiene una rúbrica en escala 0–3 (0 Suspenso · 1 Recuperable · 2 Notable · 3 Excelente). Nota/10 = (Σ peso·punt)/3×10. Mínimo por prueba: 3,5/10.</t>
  </si>
  <si>
    <t>Criterios</t>
  </si>
  <si>
    <t>Evaluación continua</t>
  </si>
  <si>
    <t>Rúbricas incluidas:</t>
  </si>
  <si>
    <t>3 Estudios de Caso (EC)</t>
  </si>
  <si>
    <t>N=(EC1+EC2+EC3)*1/3</t>
  </si>
  <si>
    <t>• Informe (P, grupal) — 5 criterios (20/20/30/20/10)</t>
  </si>
  <si>
    <t>• Exposición y defensa (P, grupal) — 50 % del proyecto</t>
  </si>
  <si>
    <t>• Examen oral del proyecto (individual) — 3 bloques (40/35/25)</t>
  </si>
  <si>
    <t>Estudio de caso</t>
  </si>
  <si>
    <t>• Examen final – informe (50 %) — 4 criterios (35/25/20/20)</t>
  </si>
  <si>
    <t>• Examen final – oral (50 %) — 3 criterios (40/35/25)</t>
  </si>
  <si>
    <t>EC = 0,6*Gru+0,4*DefInd</t>
  </si>
  <si>
    <t>• Coevaluación 360 → factor individual w</t>
  </si>
  <si>
    <t xml:space="preserve">Evaluación continua: (Gru&gt;=3.5 ^ Ind&gt;=3.5) ^ (EC&gt;=5) </t>
  </si>
  <si>
    <t>Proyecto Grupal</t>
  </si>
  <si>
    <t>Gru = (0,5*Inf + 0,4*Expo + 0,1*PR)*Coi</t>
  </si>
  <si>
    <t>Informe (Inf)</t>
  </si>
  <si>
    <t>concreción del problema y objetivos, la descripción de datos y métodos, la adecuación de los resultados e interpretaciones, la redacción y ajuste al formato estandarizado, y el uso ético de la IA</t>
  </si>
  <si>
    <t>Exposición (Expo)</t>
  </si>
  <si>
    <t>narrativa, el soporte visual, la identificación de las ideas clave y la comunicación oral</t>
  </si>
  <si>
    <t>Preguntas y Respuestas (PR)</t>
  </si>
  <si>
    <t>corrección y justificación de las respuestas</t>
  </si>
  <si>
    <t>Informe</t>
  </si>
  <si>
    <t>Coevaluación 360 (Coi)</t>
  </si>
  <si>
    <t>cumplimiento, contribución y colaboración en el desarrollo del proyecto</t>
  </si>
  <si>
    <t>Examen Oral</t>
  </si>
  <si>
    <t>Defensa individual (DefInd)</t>
  </si>
  <si>
    <t xml:space="preserve"> justificaciones técnicas e interpretación de resultados, la resolución de las correcciones señaladas en la evaluación del proyecto, la reflexión sobre los puntos débiles y recomendaciones dadas, y la capacidad de proyección de soluciones a nuevos retos relacionados con el estudio de caso trabajado</t>
  </si>
  <si>
    <t>Examen final</t>
  </si>
  <si>
    <t>Escala por criterio: 0 Suspenso · 1 Recuperable · 2 Notable · 3 Excelente.</t>
  </si>
  <si>
    <t>1/2 estudios de caso resueltos total/parcialmente</t>
  </si>
  <si>
    <t>N = 0,5*Inf + 0,5*Def</t>
  </si>
  <si>
    <t xml:space="preserve"> justificaciones técnicas e interpretación de resultados, las soluciones e implicaciones derivadas, las capacidades comunicativas escritas y el ajuste al formato estandarizado</t>
  </si>
  <si>
    <t>Estudiante / Grupo:</t>
  </si>
  <si>
    <t>Defensa Oral (Def)</t>
  </si>
  <si>
    <t>justificación y corrección técnica, interpretación de resultados y comunicación oral</t>
  </si>
  <si>
    <t>Exposición y defensa</t>
  </si>
  <si>
    <t>Caso / Proyecto:</t>
  </si>
  <si>
    <t>Fecha:</t>
  </si>
  <si>
    <t>Evaluador/a:</t>
  </si>
  <si>
    <t>Escala por criterio: 0 Suspenso · 1 Recuperable · 2 Notable · 3 Excelente. Rúbrica única (50 % del proyecto): exposición 40 % (narrativa, soporte visual, foco y desempeño) + defensa Q&amp;A 10 %.</t>
  </si>
  <si>
    <t>Criterio</t>
  </si>
  <si>
    <t>Qué se valora</t>
  </si>
  <si>
    <t>0 · Suspenso</t>
  </si>
  <si>
    <t>1 · Recuperable</t>
  </si>
  <si>
    <t>2 · Notable</t>
  </si>
  <si>
    <t>3 · Excelente</t>
  </si>
  <si>
    <t>Punt. (0–3)</t>
  </si>
  <si>
    <t>Problema, audiencia y objetivos</t>
  </si>
  <si>
    <t>Concreción del problema, ajuste a la audiencia y objetivos, según la tipología de informe.</t>
  </si>
  <si>
    <t>Narrativa</t>
  </si>
  <si>
    <t>Hilo entre audiencia, contexto, resultados, implicaciones y cierre.</t>
  </si>
  <si>
    <t>Problema u objetivos ausentes o confusos; no atiende a la audiencia.</t>
  </si>
  <si>
    <t>Problema y objetivos esbozados, con imprecisiones o desajuste con la audiencia.</t>
  </si>
  <si>
    <t>Problema y objetivos claros y adecuados a la audiencia, con algún matiz mejorable.</t>
  </si>
  <si>
    <t>Problema bien delimitado, objetivos precisos y enfoque plenamente ajustado a la audiencia.</t>
  </si>
  <si>
    <t>Datos, método y reproducibilidad</t>
  </si>
  <si>
    <t>Sin hilo; no conecta audiencia, contexto ni cierre.</t>
  </si>
  <si>
    <t>Descripción de datos, elección de familia/enlace y código reproducible.</t>
  </si>
  <si>
    <t>Hilo débil o fragmentado; faltan enlaces (p. ej. implicaciones o cierre).</t>
  </si>
  <si>
    <t>Datos o método mal descritos; no reproducible.</t>
  </si>
  <si>
    <t>Hilo coherente que enlaza audiencia, contexto, resultados e implicaciones, con algún salto.</t>
  </si>
  <si>
    <t>Descripción parcial; reproducibilidad limitada o con lagunas.</t>
  </si>
  <si>
    <t>Narrativa única y fluida: audiencia, contexto, resultados, implicaciones y cierre perfectamente hilados.</t>
  </si>
  <si>
    <t>Datos y método correctos y reproducibles, con detalles menores por pulir.</t>
  </si>
  <si>
    <t>Datos y método rigurosos, decisiones justificadas y pipeline plenamente reproducible.</t>
  </si>
  <si>
    <t>Soporte visual</t>
  </si>
  <si>
    <t>Resultados, visualización e interpretación</t>
  </si>
  <si>
    <t>Estética y estructura de las diapositivas.</t>
  </si>
  <si>
    <t>Adecuación de resultados, calidad de las figuras e interpretación en la escala correcta.</t>
  </si>
  <si>
    <t>Resultados erróneos o sin interpretar; visualización inadecuada.</t>
  </si>
  <si>
    <t>Resultados básicos con interpretación superficial o en escala incorrecta.</t>
  </si>
  <si>
    <t>Diapositivas confusas o sobrecargadas; sin estructura.</t>
  </si>
  <si>
    <t>Resultados correctos, bien visualizados e interpretados con prudencia, con algún matiz.</t>
  </si>
  <si>
    <t>Estética o estructura pobres; dificultan el seguimiento.</t>
  </si>
  <si>
    <t>Resultados sólidos, visualización excelente e interpretación precisa (OR/IRR/efectos) con incertidumbre y límites.</t>
  </si>
  <si>
    <t>Diapositivas claras y bien estructuradas, con algún exceso o desajuste.</t>
  </si>
  <si>
    <t>Redacción, formato y referencias (APA 7)</t>
  </si>
  <si>
    <t>Soporte visual excelente: estética cuidada y estructura que refuerza el mensaje.</t>
  </si>
  <si>
    <t>Claridad de la redacción y adecuación a audiencia/informe, respeto de la plantilla estandarizada, formateado de figuras y tablas, y citas y referencias en APA 7.</t>
  </si>
  <si>
    <t>Foco: ideas clave, resultados y justificaciones</t>
  </si>
  <si>
    <t>Redacción deficiente; no respeta la plantilla; figuras/tablas sin formato; sin citas APA.</t>
  </si>
  <si>
    <t>Selección de lo esencial y justificación correcta de resultados y decisiones.</t>
  </si>
  <si>
    <t>Redacción mejorable; cumple la plantilla a medias; figuras/tablas o citas con fallos frecuentes.</t>
  </si>
  <si>
    <t>Redacción clara y plantilla respetada; figuras, tablas y citas correctas con descuidos menores.</t>
  </si>
  <si>
    <t>Se pierde en detalle o no identifica las ideas clave; sin justificar.</t>
  </si>
  <si>
    <t>Redacción excelente; plantilla y formato de figuras/tablas impecables; citas y referencias APA 7 sin errores.</t>
  </si>
  <si>
    <t>Prioriza mal; resultados o justificaciones incompletos o con errores.</t>
  </si>
  <si>
    <t>Selecciona las ideas clave y justifica los resultados, con alguna laguna.</t>
  </si>
  <si>
    <t>Uso ético de la IA</t>
  </si>
  <si>
    <t>Foco preciso en lo esencial; resultados bien presentados y justificados con rigor.</t>
  </si>
  <si>
    <t>Apartado obligatorio: qué herramientas se usaron, para qué y cómo se verificaron sus respuestas.</t>
  </si>
  <si>
    <t>Falta el apartado obligatorio sobre uso de la IA.</t>
  </si>
  <si>
    <t>Desempeño</t>
  </si>
  <si>
    <t>Apartado superficial; no explica cómo se usó ni cómo se verificó.</t>
  </si>
  <si>
    <t>Explica qué se usó y para qué, con una verificación somera.</t>
  </si>
  <si>
    <t>Detalla uso y verificación de la IA de forma crítica y trazable.</t>
  </si>
  <si>
    <t>Oralidad, gestión de los tiempos y decoro.</t>
  </si>
  <si>
    <t>Oralidad deficiente, fuera de tiempo o actitud poco profesional.</t>
  </si>
  <si>
    <t>Oralidad o gestión del tiempo mejorables; decoro justo.</t>
  </si>
  <si>
    <t>Buena oralidad, dentro del tiempo y con decoro, con desviaciones menores.</t>
  </si>
  <si>
    <t>Oralidad excelente, ajuste perfecto al tiempo y plena profesionalidad.</t>
  </si>
  <si>
    <t>Nota (sobre 10):</t>
  </si>
  <si>
    <t>Corrección y justificación de la respuesta a las preguntas (1–2).</t>
  </si>
  <si>
    <t>No responde o responde con errores graves; sin justificar.</t>
  </si>
  <si>
    <t>Responde a medias, con imprecisiones; justificación débil.</t>
  </si>
  <si>
    <t>Responde correctamente y justifica, con alguna laguna.</t>
  </si>
  <si>
    <t>Responde con solidez y justifica con evidencia del proyecto, reconociendo los límites.</t>
  </si>
  <si>
    <t>¿Supera la prueba? (Nota ≥ 3,5):</t>
  </si>
  <si>
    <t>Salvaguarda: sin el apartado de uso de la IA (criterio 5 = 0), el informe no puede alcanzar «excelente». Conversión: Nota = (Σ pesoᵢ·puntᵢ)/3×10. Mínimo de la prueba: Nota ≥ 3,5/10. Descriptores orientativos; ajústense al caso.</t>
  </si>
  <si>
    <t>Conversión: Nota = (Σ pesoᵢ·puntᵢ)/3×10. Mínimo de la prueba: Nota ≥ 3,5/10. Descriptores orientativos; ajústense al caso.</t>
  </si>
  <si>
    <t>Rúbrica · Examen oral del proyecto</t>
  </si>
  <si>
    <t>Escala por bloque: 0 Suspenso · 1 Recuperable · 2 Notable · 3 Excelente.  En cada bloque, el profesorado plantea UNA cuestión sobre el aspecto indicado.</t>
  </si>
  <si>
    <t>Estudiante:</t>
  </si>
  <si>
    <t>Bloque</t>
  </si>
  <si>
    <t>El profesorado pregunta por…</t>
  </si>
  <si>
    <t>1. Justificaciones técnicas e interpretación</t>
  </si>
  <si>
    <t>la justificación de las respuestas dadas y la interpretación solicitada de resultados</t>
  </si>
  <si>
    <t>No justifica la respuesta o interpreta de forma incorrecta.</t>
  </si>
  <si>
    <t>Justifica o interpreta a medias, con errores que no lo invalidan del todo.</t>
  </si>
  <si>
    <t>Justifica e interpreta correctamente, con alguna imprecisión menor.</t>
  </si>
  <si>
    <t>Justifica con solidez familia/enlace e interpreta en la escala correcta y en lenguaje del problema, con matices.</t>
  </si>
  <si>
    <t>Examen final – informe</t>
  </si>
  <si>
    <t>Examen final, parte escrita (50 %). Sin acceso a internet ni IA y sobre resultados ya proporcionados: no se evalúan uso de IA ni referencias. Escala 0–3.</t>
  </si>
  <si>
    <t>2. Solución a un punto débil</t>
  </si>
  <si>
    <t>la solución a uno de los puntos débiles detectados en la corrección</t>
  </si>
  <si>
    <t>No reconoce el punto débil o no aporta una solución válida.</t>
  </si>
  <si>
    <t>Justificaciones técnicas e interpretación</t>
  </si>
  <si>
    <t>Reconoce el problema, pero la solución es vaga o solo parcialmente correcta.</t>
  </si>
  <si>
    <t>Explica la solución correctamente, aunque sin toda la profundidad.</t>
  </si>
  <si>
    <t>Identifica el punto débil y explica con claridad la solución y por qué es adecuada.</t>
  </si>
  <si>
    <t>Justificación de la modelización e interpretación correcta de los resultados (escala adecuada).</t>
  </si>
  <si>
    <t>3. Extensión / nuevos retos</t>
  </si>
  <si>
    <t>una extensión o un nuevo reto sobre el problema ya resuelto</t>
  </si>
  <si>
    <t>No aporta.</t>
  </si>
  <si>
    <t>Respuesta genérica o superficial.</t>
  </si>
  <si>
    <t>No justifica la modelización o interpreta de forma incorrecta.</t>
  </si>
  <si>
    <t>Aporta una idea razonable, aunque poco desarrollada.</t>
  </si>
  <si>
    <t>Propone una extensión pertinente y bien razonada ante el nuevo reto.</t>
  </si>
  <si>
    <t>Justifica e interpreta correctamente, con alguna imprecisión.</t>
  </si>
  <si>
    <t>Justifica con solidez e interpreta con precisión, en la escala correcta y en lenguaje del problema.</t>
  </si>
  <si>
    <t>Soluciones e implicaciones derivadas</t>
  </si>
  <si>
    <t>Soluciones propuestas e implicaciones extraídas de los resultados.</t>
  </si>
  <si>
    <t>No deriva soluciones ni implicaciones, o son erróneas.</t>
  </si>
  <si>
    <t>Soluciones o implicaciones vagas o solo parcialmente correctas.</t>
  </si>
  <si>
    <t>Soluciones e implicaciones correctas, con algún punto sin desarrollar.</t>
  </si>
  <si>
    <t>Soluciones e implicaciones pertinentes, bien razonadas y útiles para la decisión.</t>
  </si>
  <si>
    <t>Comunicación escrita</t>
  </si>
  <si>
    <t>Claridad, orden y precisión de la redacción.</t>
  </si>
  <si>
    <t>Redacción confusa; no se sigue el razonamiento.</t>
  </si>
  <si>
    <t>Redacción mejorable; ideas desordenadas o imprecisas.</t>
  </si>
  <si>
    <t>Redacción clara y ordenada, con descuidos menores.</t>
  </si>
  <si>
    <t>Redacción excelente, precisa y bien estructurada.</t>
  </si>
  <si>
    <t>Ajuste al formato estandarizado</t>
  </si>
  <si>
    <t>Respeto del formato solicitado (estructura, figuras y tablas).</t>
  </si>
  <si>
    <t>No respeta el formato solicitado.</t>
  </si>
  <si>
    <t>Cumple el formato a medias; estructura o figuras/tablas con fallos.</t>
  </si>
  <si>
    <t>Respeta el formato, con descuidos menores en estructura o figuras/tablas.</t>
  </si>
  <si>
    <t>Formato impecable: estructura, figuras y tablas conforme a lo solicitado.</t>
  </si>
  <si>
    <t>Nota del oral E (sobre 10):</t>
  </si>
  <si>
    <t>¿Supera la prueba? (E ≥ 3,5 y bloque 1 ≥ 1):</t>
  </si>
  <si>
    <t>Mínimo de la prueba: E ≥ 3,5/10 y bloque 1 distinto de 0 (no puede dejarse en blanco la justificación/interpretación). Conversión: E = (0,40·B1 + 0,35·B2 + 0,25·B3)/3×10.</t>
  </si>
  <si>
    <t>Examen final – oral</t>
  </si>
  <si>
    <t>Examen final, defensa oral (50 %): el estudiante expone su informe y responde a las preguntas. Escala 0–3.</t>
  </si>
  <si>
    <t>Justificación y corrección técnica</t>
  </si>
  <si>
    <t>Corrección técnica y justificación de las respuestas a las preguntas.</t>
  </si>
  <si>
    <t>Responde con solidez técnica y justifica con rigor.</t>
  </si>
  <si>
    <t>Interpretación</t>
  </si>
  <si>
    <t>Interpretación de los resultados en la escala correcta y en el contexto del problema.</t>
  </si>
  <si>
    <t>No interpreta o lo hace de forma incorrecta.</t>
  </si>
  <si>
    <t>Interpretación superficial o en escala incorrecta.</t>
  </si>
  <si>
    <t>Interpreta correctamente, con alguna imprecisión.</t>
  </si>
  <si>
    <t>Interpreta con precisión, en la escala correcta y en lenguaje del problema.</t>
  </si>
  <si>
    <t>Comunicación oral</t>
  </si>
  <si>
    <t>Claridad, orden y precisión al exponer el informe y responder.</t>
  </si>
  <si>
    <t>Exposición confusa; no transmite el contenido.</t>
  </si>
  <si>
    <t>Exposición poco clara o desordenada.</t>
  </si>
  <si>
    <t>Exposición clara y ordenada, con desviaciones menores.</t>
  </si>
  <si>
    <t>Exposición excelente: clara, precisa y bien estructurada.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</si>
</sst>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Arial"/>
    </font>
    <font>
      <sz val="11"/>
      <color theme="1"/>
      <name val="Calibri"/>
    </font>
    <font>
      <i/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14"/>
      <color theme="1"/>
      <name val="Calibri"/>
    </font>
    <font>
      <sz val="9"/>
      <color theme="1"/>
      <name val="Calibri"/>
    </font>
    <font>
      <b/>
      <sz val="11"/>
      <color theme="1"/>
      <name val="Calibri"/>
    </font>
    <font>
      <sz val="11"/>
      <color rgb="FF000000"/>
      <name val="Arial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Arial"/>
    </font>
    <font>
      <sz val="9"/>
      <color theme="1"/>
      <name val="Arial"/>
    </font>
    <font>
      <b/>
      <sz val="11"/>
      <color rgb="FF0000FF"/>
      <name val="Arial"/>
    </font>
    <font>
      <i/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2E5496"/>
        <bgColor rgb="FF2E5496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10" fontId="6" fillId="0" borderId="0" xfId="0" applyNumberFormat="1" applyFont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9" fontId="7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vertical="top" wrapText="1"/>
    </xf>
    <xf numFmtId="0" fontId="16" fillId="5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/>
    <xf numFmtId="0" fontId="8" fillId="0" borderId="0" xfId="0" applyFont="1"/>
    <xf numFmtId="0" fontId="9" fillId="0" borderId="0" xfId="0" applyFont="1" applyAlignment="1">
      <alignment vertical="center" wrapText="1"/>
    </xf>
    <xf numFmtId="0" fontId="3" fillId="0" borderId="0" xfId="0" applyFont="1"/>
    <xf numFmtId="0" fontId="9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/>
    <xf numFmtId="0" fontId="3" fillId="5" borderId="2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A12" sqref="A12"/>
    </sheetView>
  </sheetViews>
  <sheetFormatPr baseColWidth="10" defaultColWidth="14.5" defaultRowHeight="15" customHeight="1" x14ac:dyDescent="0.2"/>
  <cols>
    <col min="1" max="1" width="90" customWidth="1"/>
    <col min="2" max="6" width="8.6640625" customWidth="1"/>
  </cols>
  <sheetData>
    <row r="1" spans="1:1" ht="17.25" customHeight="1" x14ac:dyDescent="0.2">
      <c r="A1" s="2" t="s">
        <v>1</v>
      </c>
    </row>
    <row r="2" spans="1:1" x14ac:dyDescent="0.2">
      <c r="A2" s="4"/>
    </row>
    <row r="3" spans="1:1" ht="15" customHeight="1" x14ac:dyDescent="0.2">
      <c r="A3" s="6" t="s">
        <v>5</v>
      </c>
    </row>
    <row r="4" spans="1:1" x14ac:dyDescent="0.2">
      <c r="A4" s="4"/>
    </row>
    <row r="5" spans="1:1" ht="15" customHeight="1" x14ac:dyDescent="0.2">
      <c r="A5" s="9" t="s">
        <v>8</v>
      </c>
    </row>
    <row r="6" spans="1:1" ht="15" customHeight="1" x14ac:dyDescent="0.2">
      <c r="A6" s="12" t="s">
        <v>11</v>
      </c>
    </row>
    <row r="7" spans="1:1" x14ac:dyDescent="0.2">
      <c r="A7" s="4" t="s">
        <v>12</v>
      </c>
    </row>
    <row r="8" spans="1:1" x14ac:dyDescent="0.2">
      <c r="A8" s="4" t="s">
        <v>13</v>
      </c>
    </row>
    <row r="9" spans="1:1" x14ac:dyDescent="0.2">
      <c r="A9" s="4" t="s">
        <v>15</v>
      </c>
    </row>
    <row r="10" spans="1:1" x14ac:dyDescent="0.2">
      <c r="A10" s="11" t="s">
        <v>16</v>
      </c>
    </row>
    <row r="11" spans="1:1" x14ac:dyDescent="0.2">
      <c r="A11" s="11" t="s">
        <v>18</v>
      </c>
    </row>
    <row r="12" spans="1:1" x14ac:dyDescent="0.2">
      <c r="A12" s="4"/>
    </row>
    <row r="13" spans="1:1" x14ac:dyDescent="0.2">
      <c r="A13" s="4"/>
    </row>
    <row r="14" spans="1:1" x14ac:dyDescent="0.2">
      <c r="A14" s="4"/>
    </row>
    <row r="15" spans="1:1" x14ac:dyDescent="0.2">
      <c r="A15" s="4"/>
    </row>
    <row r="16" spans="1:1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ht="15.75" customHeight="1" x14ac:dyDescent="0.2">
      <c r="A21" s="4"/>
    </row>
    <row r="22" spans="1:1" ht="15.75" customHeight="1" x14ac:dyDescent="0.2">
      <c r="A22" s="4"/>
    </row>
    <row r="23" spans="1:1" ht="15.75" customHeight="1" x14ac:dyDescent="0.2">
      <c r="A23" s="4"/>
    </row>
    <row r="24" spans="1:1" ht="15.75" customHeight="1" x14ac:dyDescent="0.2">
      <c r="A24" s="4"/>
    </row>
    <row r="25" spans="1:1" ht="15.75" customHeight="1" x14ac:dyDescent="0.2">
      <c r="A25" s="4"/>
    </row>
    <row r="26" spans="1:1" ht="15.75" customHeight="1" x14ac:dyDescent="0.2">
      <c r="A26" s="4"/>
    </row>
    <row r="27" spans="1:1" ht="15.75" customHeight="1" x14ac:dyDescent="0.2">
      <c r="A27" s="4"/>
    </row>
    <row r="28" spans="1:1" ht="15.75" customHeight="1" x14ac:dyDescent="0.2">
      <c r="A28" s="4"/>
    </row>
    <row r="29" spans="1:1" ht="15.75" customHeight="1" x14ac:dyDescent="0.2">
      <c r="A29" s="4"/>
    </row>
    <row r="30" spans="1:1" ht="15.75" customHeight="1" x14ac:dyDescent="0.2">
      <c r="A30" s="4"/>
    </row>
    <row r="31" spans="1:1" ht="15.75" customHeight="1" x14ac:dyDescent="0.2">
      <c r="A31" s="4"/>
    </row>
    <row r="32" spans="1:1" ht="15.75" customHeight="1" x14ac:dyDescent="0.2">
      <c r="A32" s="4"/>
    </row>
    <row r="33" spans="1:1" ht="15.75" customHeight="1" x14ac:dyDescent="0.2">
      <c r="A33" s="4"/>
    </row>
    <row r="34" spans="1:1" ht="15.75" customHeight="1" x14ac:dyDescent="0.2">
      <c r="A34" s="4"/>
    </row>
    <row r="35" spans="1:1" ht="15.75" customHeight="1" x14ac:dyDescent="0.2">
      <c r="A35" s="4"/>
    </row>
    <row r="36" spans="1:1" ht="15.75" customHeight="1" x14ac:dyDescent="0.2">
      <c r="A36" s="4"/>
    </row>
    <row r="37" spans="1:1" ht="15.75" customHeight="1" x14ac:dyDescent="0.2">
      <c r="A37" s="4"/>
    </row>
    <row r="38" spans="1:1" ht="15.75" customHeight="1" x14ac:dyDescent="0.2">
      <c r="A38" s="4"/>
    </row>
    <row r="39" spans="1:1" ht="15.75" customHeight="1" x14ac:dyDescent="0.2">
      <c r="A39" s="4"/>
    </row>
    <row r="40" spans="1:1" ht="15.75" customHeight="1" x14ac:dyDescent="0.2">
      <c r="A40" s="4"/>
    </row>
    <row r="41" spans="1:1" ht="15.75" customHeight="1" x14ac:dyDescent="0.2">
      <c r="A41" s="4"/>
    </row>
    <row r="42" spans="1:1" ht="15.75" customHeight="1" x14ac:dyDescent="0.2">
      <c r="A42" s="4"/>
    </row>
    <row r="43" spans="1:1" ht="15.75" customHeight="1" x14ac:dyDescent="0.2">
      <c r="A43" s="4"/>
    </row>
    <row r="44" spans="1:1" ht="15.75" customHeight="1" x14ac:dyDescent="0.2">
      <c r="A44" s="4"/>
    </row>
    <row r="45" spans="1:1" ht="15.75" customHeight="1" x14ac:dyDescent="0.2">
      <c r="A45" s="4"/>
    </row>
    <row r="46" spans="1:1" ht="15.75" customHeight="1" x14ac:dyDescent="0.2">
      <c r="A46" s="4"/>
    </row>
    <row r="47" spans="1:1" ht="15.75" customHeight="1" x14ac:dyDescent="0.2">
      <c r="A47" s="4"/>
    </row>
    <row r="48" spans="1:1" ht="15.75" customHeight="1" x14ac:dyDescent="0.2">
      <c r="A48" s="4"/>
    </row>
    <row r="49" spans="1:1" ht="15.75" customHeight="1" x14ac:dyDescent="0.2">
      <c r="A49" s="4"/>
    </row>
    <row r="50" spans="1:1" ht="15.75" customHeight="1" x14ac:dyDescent="0.2">
      <c r="A50" s="4"/>
    </row>
    <row r="51" spans="1:1" ht="15.75" customHeight="1" x14ac:dyDescent="0.2">
      <c r="A51" s="4"/>
    </row>
    <row r="52" spans="1:1" ht="15.75" customHeight="1" x14ac:dyDescent="0.2">
      <c r="A52" s="4"/>
    </row>
    <row r="53" spans="1:1" ht="15.75" customHeight="1" x14ac:dyDescent="0.2">
      <c r="A53" s="4"/>
    </row>
    <row r="54" spans="1:1" ht="15.75" customHeight="1" x14ac:dyDescent="0.2">
      <c r="A54" s="4"/>
    </row>
    <row r="55" spans="1:1" ht="15.75" customHeight="1" x14ac:dyDescent="0.2">
      <c r="A55" s="4"/>
    </row>
    <row r="56" spans="1:1" ht="15.75" customHeight="1" x14ac:dyDescent="0.2">
      <c r="A56" s="4"/>
    </row>
    <row r="57" spans="1:1" ht="15.75" customHeight="1" x14ac:dyDescent="0.2">
      <c r="A57" s="4"/>
    </row>
    <row r="58" spans="1:1" ht="15.75" customHeight="1" x14ac:dyDescent="0.2">
      <c r="A58" s="4"/>
    </row>
    <row r="59" spans="1:1" ht="15.75" customHeight="1" x14ac:dyDescent="0.2">
      <c r="A59" s="4"/>
    </row>
    <row r="60" spans="1:1" ht="15.75" customHeight="1" x14ac:dyDescent="0.2">
      <c r="A60" s="4"/>
    </row>
    <row r="61" spans="1:1" ht="15.75" customHeight="1" x14ac:dyDescent="0.2">
      <c r="A61" s="4"/>
    </row>
    <row r="62" spans="1:1" ht="15.75" customHeight="1" x14ac:dyDescent="0.2">
      <c r="A62" s="4"/>
    </row>
    <row r="63" spans="1:1" ht="15.75" customHeight="1" x14ac:dyDescent="0.2">
      <c r="A63" s="4"/>
    </row>
    <row r="64" spans="1:1" ht="15.75" customHeight="1" x14ac:dyDescent="0.2">
      <c r="A64" s="4"/>
    </row>
    <row r="65" spans="1:1" ht="15.75" customHeight="1" x14ac:dyDescent="0.2">
      <c r="A65" s="4"/>
    </row>
    <row r="66" spans="1:1" ht="15.75" customHeight="1" x14ac:dyDescent="0.2">
      <c r="A66" s="4"/>
    </row>
    <row r="67" spans="1:1" ht="15.75" customHeight="1" x14ac:dyDescent="0.2">
      <c r="A67" s="4"/>
    </row>
    <row r="68" spans="1:1" ht="15.75" customHeight="1" x14ac:dyDescent="0.2">
      <c r="A68" s="4"/>
    </row>
    <row r="69" spans="1:1" ht="15.75" customHeight="1" x14ac:dyDescent="0.2">
      <c r="A69" s="4"/>
    </row>
    <row r="70" spans="1:1" ht="15.75" customHeight="1" x14ac:dyDescent="0.2">
      <c r="A70" s="4"/>
    </row>
    <row r="71" spans="1:1" ht="15.75" customHeight="1" x14ac:dyDescent="0.2">
      <c r="A71" s="4"/>
    </row>
    <row r="72" spans="1:1" ht="15.75" customHeight="1" x14ac:dyDescent="0.2">
      <c r="A72" s="4"/>
    </row>
    <row r="73" spans="1:1" ht="15.75" customHeight="1" x14ac:dyDescent="0.2">
      <c r="A73" s="4"/>
    </row>
    <row r="74" spans="1:1" ht="15.75" customHeight="1" x14ac:dyDescent="0.2">
      <c r="A74" s="4"/>
    </row>
    <row r="75" spans="1:1" ht="15.75" customHeight="1" x14ac:dyDescent="0.2">
      <c r="A75" s="4"/>
    </row>
    <row r="76" spans="1:1" ht="15.75" customHeight="1" x14ac:dyDescent="0.2">
      <c r="A76" s="4"/>
    </row>
    <row r="77" spans="1:1" ht="15.75" customHeight="1" x14ac:dyDescent="0.2">
      <c r="A77" s="4"/>
    </row>
    <row r="78" spans="1:1" ht="15.75" customHeight="1" x14ac:dyDescent="0.2">
      <c r="A78" s="4"/>
    </row>
    <row r="79" spans="1:1" ht="15.75" customHeight="1" x14ac:dyDescent="0.2">
      <c r="A79" s="4"/>
    </row>
    <row r="80" spans="1:1" ht="15.75" customHeight="1" x14ac:dyDescent="0.2">
      <c r="A80" s="4"/>
    </row>
    <row r="81" spans="1:1" ht="15.75" customHeight="1" x14ac:dyDescent="0.2">
      <c r="A81" s="4"/>
    </row>
    <row r="82" spans="1:1" ht="15.75" customHeight="1" x14ac:dyDescent="0.2">
      <c r="A82" s="4"/>
    </row>
    <row r="83" spans="1:1" ht="15.75" customHeight="1" x14ac:dyDescent="0.2">
      <c r="A83" s="4"/>
    </row>
    <row r="84" spans="1:1" ht="15.75" customHeight="1" x14ac:dyDescent="0.2">
      <c r="A84" s="4"/>
    </row>
    <row r="85" spans="1:1" ht="15.75" customHeight="1" x14ac:dyDescent="0.2">
      <c r="A85" s="4"/>
    </row>
    <row r="86" spans="1:1" ht="15.75" customHeight="1" x14ac:dyDescent="0.2">
      <c r="A86" s="4"/>
    </row>
    <row r="87" spans="1:1" ht="15.75" customHeight="1" x14ac:dyDescent="0.2">
      <c r="A87" s="4"/>
    </row>
    <row r="88" spans="1:1" ht="15.75" customHeight="1" x14ac:dyDescent="0.2">
      <c r="A88" s="4"/>
    </row>
    <row r="89" spans="1:1" ht="15.75" customHeight="1" x14ac:dyDescent="0.2">
      <c r="A89" s="4"/>
    </row>
    <row r="90" spans="1:1" ht="15.75" customHeight="1" x14ac:dyDescent="0.2">
      <c r="A90" s="4"/>
    </row>
    <row r="91" spans="1:1" ht="15.75" customHeight="1" x14ac:dyDescent="0.2">
      <c r="A91" s="4"/>
    </row>
    <row r="92" spans="1:1" ht="15.75" customHeight="1" x14ac:dyDescent="0.2">
      <c r="A92" s="4"/>
    </row>
    <row r="93" spans="1:1" ht="15.75" customHeight="1" x14ac:dyDescent="0.2">
      <c r="A93" s="4"/>
    </row>
    <row r="94" spans="1:1" ht="15.75" customHeight="1" x14ac:dyDescent="0.2">
      <c r="A94" s="4"/>
    </row>
    <row r="95" spans="1:1" ht="15.75" customHeight="1" x14ac:dyDescent="0.2">
      <c r="A95" s="4"/>
    </row>
    <row r="96" spans="1:1" ht="15.75" customHeight="1" x14ac:dyDescent="0.2">
      <c r="A96" s="4"/>
    </row>
    <row r="97" spans="1:1" ht="15.75" customHeight="1" x14ac:dyDescent="0.2">
      <c r="A97" s="4"/>
    </row>
    <row r="98" spans="1:1" ht="15.75" customHeight="1" x14ac:dyDescent="0.2">
      <c r="A98" s="4"/>
    </row>
    <row r="99" spans="1:1" ht="15.75" customHeight="1" x14ac:dyDescent="0.2">
      <c r="A99" s="4"/>
    </row>
    <row r="100" spans="1:1" ht="15.75" customHeight="1" x14ac:dyDescent="0.2">
      <c r="A100" s="4"/>
    </row>
    <row r="101" spans="1:1" ht="15.75" customHeight="1" x14ac:dyDescent="0.2">
      <c r="A101" s="4"/>
    </row>
    <row r="102" spans="1:1" ht="15.75" customHeight="1" x14ac:dyDescent="0.2">
      <c r="A102" s="4"/>
    </row>
    <row r="103" spans="1:1" ht="15.75" customHeight="1" x14ac:dyDescent="0.2">
      <c r="A103" s="4"/>
    </row>
    <row r="104" spans="1:1" ht="15.75" customHeight="1" x14ac:dyDescent="0.2">
      <c r="A104" s="4"/>
    </row>
    <row r="105" spans="1:1" ht="15.75" customHeight="1" x14ac:dyDescent="0.2">
      <c r="A105" s="4"/>
    </row>
    <row r="106" spans="1:1" ht="15.75" customHeight="1" x14ac:dyDescent="0.2">
      <c r="A106" s="4"/>
    </row>
    <row r="107" spans="1:1" ht="15.75" customHeight="1" x14ac:dyDescent="0.2">
      <c r="A107" s="4"/>
    </row>
    <row r="108" spans="1:1" ht="15.75" customHeight="1" x14ac:dyDescent="0.2">
      <c r="A108" s="4"/>
    </row>
    <row r="109" spans="1:1" ht="15.75" customHeight="1" x14ac:dyDescent="0.2">
      <c r="A109" s="4"/>
    </row>
    <row r="110" spans="1:1" ht="15.75" customHeight="1" x14ac:dyDescent="0.2">
      <c r="A110" s="4"/>
    </row>
    <row r="111" spans="1:1" ht="15.75" customHeight="1" x14ac:dyDescent="0.2">
      <c r="A111" s="4"/>
    </row>
    <row r="112" spans="1:1" ht="15.75" customHeight="1" x14ac:dyDescent="0.2">
      <c r="A112" s="4"/>
    </row>
    <row r="113" spans="1:1" ht="15.75" customHeight="1" x14ac:dyDescent="0.2">
      <c r="A113" s="4"/>
    </row>
    <row r="114" spans="1:1" ht="15.75" customHeight="1" x14ac:dyDescent="0.2">
      <c r="A114" s="4"/>
    </row>
    <row r="115" spans="1:1" ht="15.75" customHeight="1" x14ac:dyDescent="0.2">
      <c r="A115" s="4"/>
    </row>
    <row r="116" spans="1:1" ht="15.75" customHeight="1" x14ac:dyDescent="0.2">
      <c r="A116" s="4"/>
    </row>
    <row r="117" spans="1:1" ht="15.75" customHeight="1" x14ac:dyDescent="0.2">
      <c r="A117" s="4"/>
    </row>
    <row r="118" spans="1:1" ht="15.75" customHeight="1" x14ac:dyDescent="0.2">
      <c r="A118" s="4"/>
    </row>
    <row r="119" spans="1:1" ht="15.75" customHeight="1" x14ac:dyDescent="0.2">
      <c r="A119" s="4"/>
    </row>
    <row r="120" spans="1:1" ht="15.75" customHeight="1" x14ac:dyDescent="0.2">
      <c r="A120" s="4"/>
    </row>
    <row r="121" spans="1:1" ht="15.75" customHeight="1" x14ac:dyDescent="0.2">
      <c r="A121" s="4"/>
    </row>
    <row r="122" spans="1:1" ht="15.75" customHeight="1" x14ac:dyDescent="0.2">
      <c r="A122" s="4"/>
    </row>
    <row r="123" spans="1:1" ht="15.75" customHeight="1" x14ac:dyDescent="0.2">
      <c r="A123" s="4"/>
    </row>
    <row r="124" spans="1:1" ht="15.75" customHeight="1" x14ac:dyDescent="0.2">
      <c r="A124" s="4"/>
    </row>
    <row r="125" spans="1:1" ht="15.75" customHeight="1" x14ac:dyDescent="0.2">
      <c r="A125" s="4"/>
    </row>
    <row r="126" spans="1:1" ht="15.75" customHeight="1" x14ac:dyDescent="0.2">
      <c r="A126" s="4"/>
    </row>
    <row r="127" spans="1:1" ht="15.75" customHeight="1" x14ac:dyDescent="0.2">
      <c r="A127" s="4"/>
    </row>
    <row r="128" spans="1:1" ht="15.75" customHeight="1" x14ac:dyDescent="0.2">
      <c r="A128" s="4"/>
    </row>
    <row r="129" spans="1:1" ht="15.75" customHeight="1" x14ac:dyDescent="0.2">
      <c r="A129" s="4"/>
    </row>
    <row r="130" spans="1:1" ht="15.75" customHeight="1" x14ac:dyDescent="0.2">
      <c r="A130" s="4"/>
    </row>
    <row r="131" spans="1:1" ht="15.75" customHeight="1" x14ac:dyDescent="0.2">
      <c r="A131" s="4"/>
    </row>
    <row r="132" spans="1:1" ht="15.75" customHeight="1" x14ac:dyDescent="0.2">
      <c r="A132" s="4"/>
    </row>
    <row r="133" spans="1:1" ht="15.75" customHeight="1" x14ac:dyDescent="0.2">
      <c r="A133" s="4"/>
    </row>
    <row r="134" spans="1:1" ht="15.75" customHeight="1" x14ac:dyDescent="0.2">
      <c r="A134" s="4"/>
    </row>
    <row r="135" spans="1:1" ht="15.75" customHeight="1" x14ac:dyDescent="0.2">
      <c r="A135" s="4"/>
    </row>
    <row r="136" spans="1:1" ht="15.75" customHeight="1" x14ac:dyDescent="0.2">
      <c r="A136" s="4"/>
    </row>
    <row r="137" spans="1:1" ht="15.75" customHeight="1" x14ac:dyDescent="0.2">
      <c r="A137" s="4"/>
    </row>
    <row r="138" spans="1:1" ht="15.75" customHeight="1" x14ac:dyDescent="0.2">
      <c r="A138" s="4"/>
    </row>
    <row r="139" spans="1:1" ht="15.75" customHeight="1" x14ac:dyDescent="0.2">
      <c r="A139" s="4"/>
    </row>
    <row r="140" spans="1:1" ht="15.75" customHeight="1" x14ac:dyDescent="0.2">
      <c r="A140" s="4"/>
    </row>
    <row r="141" spans="1:1" ht="15.75" customHeight="1" x14ac:dyDescent="0.2">
      <c r="A141" s="4"/>
    </row>
    <row r="142" spans="1:1" ht="15.75" customHeight="1" x14ac:dyDescent="0.2">
      <c r="A142" s="4"/>
    </row>
    <row r="143" spans="1:1" ht="15.75" customHeight="1" x14ac:dyDescent="0.2">
      <c r="A143" s="4"/>
    </row>
    <row r="144" spans="1:1" ht="15.75" customHeight="1" x14ac:dyDescent="0.2">
      <c r="A144" s="4"/>
    </row>
    <row r="145" spans="1:1" ht="15.75" customHeight="1" x14ac:dyDescent="0.2">
      <c r="A145" s="4"/>
    </row>
    <row r="146" spans="1:1" ht="15.75" customHeight="1" x14ac:dyDescent="0.2">
      <c r="A146" s="4"/>
    </row>
    <row r="147" spans="1:1" ht="15.75" customHeight="1" x14ac:dyDescent="0.2">
      <c r="A147" s="4"/>
    </row>
    <row r="148" spans="1:1" ht="15.75" customHeight="1" x14ac:dyDescent="0.2">
      <c r="A148" s="4"/>
    </row>
    <row r="149" spans="1:1" ht="15.75" customHeight="1" x14ac:dyDescent="0.2">
      <c r="A149" s="4"/>
    </row>
    <row r="150" spans="1:1" ht="15.75" customHeight="1" x14ac:dyDescent="0.2">
      <c r="A150" s="4"/>
    </row>
    <row r="151" spans="1:1" ht="15.75" customHeight="1" x14ac:dyDescent="0.2">
      <c r="A151" s="4"/>
    </row>
    <row r="152" spans="1:1" ht="15.75" customHeight="1" x14ac:dyDescent="0.2">
      <c r="A152" s="4"/>
    </row>
    <row r="153" spans="1:1" ht="15.75" customHeight="1" x14ac:dyDescent="0.2">
      <c r="A153" s="4"/>
    </row>
    <row r="154" spans="1:1" ht="15.75" customHeight="1" x14ac:dyDescent="0.2">
      <c r="A154" s="4"/>
    </row>
    <row r="155" spans="1:1" ht="15.75" customHeight="1" x14ac:dyDescent="0.2">
      <c r="A155" s="4"/>
    </row>
    <row r="156" spans="1:1" ht="15.75" customHeight="1" x14ac:dyDescent="0.2">
      <c r="A156" s="4"/>
    </row>
    <row r="157" spans="1:1" ht="15.75" customHeight="1" x14ac:dyDescent="0.2">
      <c r="A157" s="4"/>
    </row>
    <row r="158" spans="1:1" ht="15.75" customHeight="1" x14ac:dyDescent="0.2">
      <c r="A158" s="4"/>
    </row>
    <row r="159" spans="1:1" ht="15.75" customHeight="1" x14ac:dyDescent="0.2">
      <c r="A159" s="4"/>
    </row>
    <row r="160" spans="1:1" ht="15.75" customHeight="1" x14ac:dyDescent="0.2">
      <c r="A160" s="4"/>
    </row>
    <row r="161" spans="1:1" ht="15.75" customHeight="1" x14ac:dyDescent="0.2">
      <c r="A161" s="4"/>
    </row>
    <row r="162" spans="1:1" ht="15.75" customHeight="1" x14ac:dyDescent="0.2">
      <c r="A162" s="4"/>
    </row>
    <row r="163" spans="1:1" ht="15.75" customHeight="1" x14ac:dyDescent="0.2">
      <c r="A163" s="4"/>
    </row>
    <row r="164" spans="1:1" ht="15.75" customHeight="1" x14ac:dyDescent="0.2">
      <c r="A164" s="4"/>
    </row>
    <row r="165" spans="1:1" ht="15.75" customHeight="1" x14ac:dyDescent="0.2">
      <c r="A165" s="4"/>
    </row>
    <row r="166" spans="1:1" ht="15.75" customHeight="1" x14ac:dyDescent="0.2">
      <c r="A166" s="4"/>
    </row>
    <row r="167" spans="1:1" ht="15.75" customHeight="1" x14ac:dyDescent="0.2">
      <c r="A167" s="4"/>
    </row>
    <row r="168" spans="1:1" ht="15.75" customHeight="1" x14ac:dyDescent="0.2">
      <c r="A168" s="4"/>
    </row>
    <row r="169" spans="1:1" ht="15.75" customHeight="1" x14ac:dyDescent="0.2">
      <c r="A169" s="4"/>
    </row>
    <row r="170" spans="1:1" ht="15.75" customHeight="1" x14ac:dyDescent="0.2">
      <c r="A170" s="4"/>
    </row>
    <row r="171" spans="1:1" ht="15.75" customHeight="1" x14ac:dyDescent="0.2">
      <c r="A171" s="4"/>
    </row>
    <row r="172" spans="1:1" ht="15.75" customHeight="1" x14ac:dyDescent="0.2">
      <c r="A172" s="4"/>
    </row>
    <row r="173" spans="1:1" ht="15.75" customHeight="1" x14ac:dyDescent="0.2">
      <c r="A173" s="4"/>
    </row>
    <row r="174" spans="1:1" ht="15.75" customHeight="1" x14ac:dyDescent="0.2">
      <c r="A174" s="4"/>
    </row>
    <row r="175" spans="1:1" ht="15.75" customHeight="1" x14ac:dyDescent="0.2">
      <c r="A175" s="4"/>
    </row>
    <row r="176" spans="1:1" ht="15.75" customHeight="1" x14ac:dyDescent="0.2">
      <c r="A176" s="4"/>
    </row>
    <row r="177" spans="1:1" ht="15.75" customHeight="1" x14ac:dyDescent="0.2">
      <c r="A177" s="4"/>
    </row>
    <row r="178" spans="1:1" ht="15.75" customHeight="1" x14ac:dyDescent="0.2">
      <c r="A178" s="4"/>
    </row>
    <row r="179" spans="1:1" ht="15.75" customHeight="1" x14ac:dyDescent="0.2">
      <c r="A179" s="4"/>
    </row>
    <row r="180" spans="1:1" ht="15.75" customHeight="1" x14ac:dyDescent="0.2">
      <c r="A180" s="4"/>
    </row>
    <row r="181" spans="1:1" ht="15.75" customHeight="1" x14ac:dyDescent="0.2">
      <c r="A181" s="4"/>
    </row>
    <row r="182" spans="1:1" ht="15.75" customHeight="1" x14ac:dyDescent="0.2">
      <c r="A182" s="4"/>
    </row>
    <row r="183" spans="1:1" ht="15.75" customHeight="1" x14ac:dyDescent="0.2">
      <c r="A183" s="4"/>
    </row>
    <row r="184" spans="1:1" ht="15.75" customHeight="1" x14ac:dyDescent="0.2">
      <c r="A184" s="4"/>
    </row>
    <row r="185" spans="1:1" ht="15.75" customHeight="1" x14ac:dyDescent="0.2">
      <c r="A185" s="4"/>
    </row>
    <row r="186" spans="1:1" ht="15.75" customHeight="1" x14ac:dyDescent="0.2">
      <c r="A186" s="4"/>
    </row>
    <row r="187" spans="1:1" ht="15.75" customHeight="1" x14ac:dyDescent="0.2">
      <c r="A187" s="4"/>
    </row>
    <row r="188" spans="1:1" ht="15.75" customHeight="1" x14ac:dyDescent="0.2">
      <c r="A188" s="4"/>
    </row>
    <row r="189" spans="1:1" ht="15.75" customHeight="1" x14ac:dyDescent="0.2">
      <c r="A189" s="4"/>
    </row>
    <row r="190" spans="1:1" ht="15.75" customHeight="1" x14ac:dyDescent="0.2">
      <c r="A190" s="4"/>
    </row>
    <row r="191" spans="1:1" ht="15.75" customHeight="1" x14ac:dyDescent="0.2">
      <c r="A191" s="4"/>
    </row>
    <row r="192" spans="1:1" ht="15.75" customHeight="1" x14ac:dyDescent="0.2">
      <c r="A192" s="4"/>
    </row>
    <row r="193" spans="1:1" ht="15.75" customHeight="1" x14ac:dyDescent="0.2">
      <c r="A193" s="4"/>
    </row>
    <row r="194" spans="1:1" ht="15.75" customHeight="1" x14ac:dyDescent="0.2">
      <c r="A194" s="4"/>
    </row>
    <row r="195" spans="1:1" ht="15.75" customHeight="1" x14ac:dyDescent="0.2">
      <c r="A195" s="4"/>
    </row>
    <row r="196" spans="1:1" ht="15.75" customHeight="1" x14ac:dyDescent="0.2">
      <c r="A196" s="4"/>
    </row>
    <row r="197" spans="1:1" ht="15.75" customHeight="1" x14ac:dyDescent="0.2">
      <c r="A197" s="4"/>
    </row>
    <row r="198" spans="1:1" ht="15.75" customHeight="1" x14ac:dyDescent="0.2">
      <c r="A198" s="4"/>
    </row>
    <row r="199" spans="1:1" ht="15.75" customHeight="1" x14ac:dyDescent="0.2">
      <c r="A199" s="4"/>
    </row>
    <row r="200" spans="1:1" ht="15.75" customHeight="1" x14ac:dyDescent="0.2">
      <c r="A200" s="4"/>
    </row>
    <row r="201" spans="1:1" ht="15.75" customHeight="1" x14ac:dyDescent="0.2">
      <c r="A201" s="4"/>
    </row>
    <row r="202" spans="1:1" ht="15.75" customHeight="1" x14ac:dyDescent="0.2">
      <c r="A202" s="4"/>
    </row>
    <row r="203" spans="1:1" ht="15.75" customHeight="1" x14ac:dyDescent="0.2">
      <c r="A203" s="4"/>
    </row>
    <row r="204" spans="1:1" ht="15.75" customHeight="1" x14ac:dyDescent="0.2">
      <c r="A204" s="4"/>
    </row>
    <row r="205" spans="1:1" ht="15.75" customHeight="1" x14ac:dyDescent="0.2">
      <c r="A205" s="4"/>
    </row>
    <row r="206" spans="1:1" ht="15.75" customHeight="1" x14ac:dyDescent="0.2">
      <c r="A206" s="4"/>
    </row>
    <row r="207" spans="1:1" ht="15.75" customHeight="1" x14ac:dyDescent="0.2">
      <c r="A207" s="4"/>
    </row>
    <row r="208" spans="1:1" ht="15.75" customHeight="1" x14ac:dyDescent="0.2">
      <c r="A208" s="4"/>
    </row>
    <row r="209" spans="1:1" ht="15.75" customHeight="1" x14ac:dyDescent="0.2">
      <c r="A209" s="4"/>
    </row>
    <row r="210" spans="1:1" ht="15.75" customHeight="1" x14ac:dyDescent="0.2">
      <c r="A210" s="4"/>
    </row>
    <row r="211" spans="1:1" ht="15.75" customHeight="1" x14ac:dyDescent="0.2">
      <c r="A211" s="4"/>
    </row>
    <row r="212" spans="1:1" ht="15.75" customHeight="1" x14ac:dyDescent="0.2">
      <c r="A212" s="4"/>
    </row>
    <row r="213" spans="1:1" ht="15.75" customHeight="1" x14ac:dyDescent="0.2">
      <c r="A213" s="4"/>
    </row>
    <row r="214" spans="1:1" ht="15.75" customHeight="1" x14ac:dyDescent="0.2">
      <c r="A214" s="4"/>
    </row>
    <row r="215" spans="1:1" ht="15.75" customHeight="1" x14ac:dyDescent="0.2">
      <c r="A215" s="4"/>
    </row>
    <row r="216" spans="1:1" ht="15.75" customHeight="1" x14ac:dyDescent="0.2">
      <c r="A216" s="4"/>
    </row>
    <row r="217" spans="1:1" ht="15.75" customHeight="1" x14ac:dyDescent="0.2">
      <c r="A217" s="4"/>
    </row>
    <row r="218" spans="1:1" ht="15.75" customHeight="1" x14ac:dyDescent="0.2">
      <c r="A218" s="4"/>
    </row>
    <row r="219" spans="1:1" ht="15.75" customHeight="1" x14ac:dyDescent="0.2">
      <c r="A219" s="4"/>
    </row>
    <row r="220" spans="1:1" ht="15.75" customHeight="1" x14ac:dyDescent="0.2">
      <c r="A220" s="4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8.5" customWidth="1"/>
    <col min="2" max="2" width="21.5" customWidth="1"/>
    <col min="3" max="3" width="37.5" customWidth="1"/>
    <col min="4" max="4" width="9.83203125" customWidth="1"/>
    <col min="5" max="5" width="57.6640625" customWidth="1"/>
    <col min="6" max="6" width="14.5" customWidth="1"/>
  </cols>
  <sheetData>
    <row r="1" spans="1:5" ht="16" x14ac:dyDescent="0.2">
      <c r="A1" s="1" t="s">
        <v>0</v>
      </c>
      <c r="B1" s="3" t="s">
        <v>2</v>
      </c>
      <c r="C1" s="1" t="s">
        <v>3</v>
      </c>
      <c r="D1" s="5" t="s">
        <v>4</v>
      </c>
      <c r="E1" s="7" t="s">
        <v>6</v>
      </c>
    </row>
    <row r="2" spans="1:5" ht="16" x14ac:dyDescent="0.2">
      <c r="A2" s="8" t="s">
        <v>7</v>
      </c>
      <c r="B2" s="10" t="s">
        <v>9</v>
      </c>
      <c r="C2" s="11" t="s">
        <v>10</v>
      </c>
      <c r="D2" s="13">
        <v>1</v>
      </c>
      <c r="E2" s="10"/>
    </row>
    <row r="3" spans="1:5" x14ac:dyDescent="0.2">
      <c r="B3" s="10"/>
      <c r="C3" s="11"/>
      <c r="E3" s="10"/>
    </row>
    <row r="4" spans="1:5" ht="16" x14ac:dyDescent="0.2">
      <c r="A4" s="31" t="s">
        <v>14</v>
      </c>
      <c r="B4" s="32"/>
      <c r="C4" s="11" t="s">
        <v>17</v>
      </c>
      <c r="D4" s="13">
        <v>1</v>
      </c>
      <c r="E4" s="10" t="s">
        <v>19</v>
      </c>
    </row>
    <row r="5" spans="1:5" ht="16" x14ac:dyDescent="0.2">
      <c r="A5" s="11"/>
      <c r="B5" s="10" t="s">
        <v>20</v>
      </c>
      <c r="C5" s="11" t="s">
        <v>21</v>
      </c>
      <c r="D5" s="13">
        <v>0.6</v>
      </c>
      <c r="E5" s="10"/>
    </row>
    <row r="6" spans="1:5" ht="48" x14ac:dyDescent="0.2">
      <c r="B6" s="10"/>
      <c r="C6" s="11" t="s">
        <v>22</v>
      </c>
      <c r="D6" s="13">
        <v>0.5</v>
      </c>
      <c r="E6" s="10" t="s">
        <v>23</v>
      </c>
    </row>
    <row r="7" spans="1:5" ht="32" x14ac:dyDescent="0.2">
      <c r="B7" s="10"/>
      <c r="C7" s="11" t="s">
        <v>24</v>
      </c>
      <c r="D7" s="13">
        <v>0.4</v>
      </c>
      <c r="E7" s="10" t="s">
        <v>25</v>
      </c>
    </row>
    <row r="8" spans="1:5" ht="16" x14ac:dyDescent="0.2">
      <c r="B8" s="10"/>
      <c r="C8" s="11" t="s">
        <v>26</v>
      </c>
      <c r="D8" s="13">
        <v>0.1</v>
      </c>
      <c r="E8" s="10" t="s">
        <v>27</v>
      </c>
    </row>
    <row r="9" spans="1:5" ht="16" x14ac:dyDescent="0.2">
      <c r="B9" s="10"/>
      <c r="C9" s="11" t="s">
        <v>29</v>
      </c>
      <c r="D9" s="13">
        <v>1</v>
      </c>
      <c r="E9" s="10" t="s">
        <v>30</v>
      </c>
    </row>
    <row r="10" spans="1:5" ht="80" x14ac:dyDescent="0.2">
      <c r="B10" s="10" t="s">
        <v>31</v>
      </c>
      <c r="C10" s="11" t="s">
        <v>32</v>
      </c>
      <c r="D10" s="13">
        <v>0.4</v>
      </c>
      <c r="E10" s="10" t="s">
        <v>33</v>
      </c>
    </row>
    <row r="11" spans="1:5" x14ac:dyDescent="0.2">
      <c r="B11" s="10"/>
      <c r="E11" s="10"/>
    </row>
    <row r="12" spans="1:5" x14ac:dyDescent="0.2">
      <c r="A12" s="14"/>
      <c r="B12" s="15"/>
      <c r="C12" s="14"/>
      <c r="D12" s="14"/>
      <c r="E12" s="15"/>
    </row>
    <row r="13" spans="1:5" ht="48" x14ac:dyDescent="0.2">
      <c r="A13" s="8" t="s">
        <v>34</v>
      </c>
      <c r="B13" s="10" t="s">
        <v>36</v>
      </c>
      <c r="C13" s="11" t="s">
        <v>37</v>
      </c>
      <c r="D13" s="13">
        <v>1</v>
      </c>
      <c r="E13" s="10"/>
    </row>
    <row r="14" spans="1:5" ht="48" x14ac:dyDescent="0.2">
      <c r="B14" s="10"/>
      <c r="C14" s="11" t="s">
        <v>22</v>
      </c>
      <c r="D14" s="13">
        <v>0.5</v>
      </c>
      <c r="E14" s="10" t="s">
        <v>38</v>
      </c>
    </row>
    <row r="15" spans="1:5" ht="31" x14ac:dyDescent="0.2">
      <c r="B15" s="10"/>
      <c r="C15" s="11" t="s">
        <v>40</v>
      </c>
      <c r="D15" s="13">
        <v>0.5</v>
      </c>
      <c r="E15" s="17" t="s">
        <v>41</v>
      </c>
    </row>
    <row r="16" spans="1:5" x14ac:dyDescent="0.2">
      <c r="B16" s="10"/>
      <c r="E16" s="10"/>
    </row>
    <row r="17" spans="2:5" x14ac:dyDescent="0.2">
      <c r="B17" s="10"/>
      <c r="E17" s="10"/>
    </row>
    <row r="18" spans="2:5" x14ac:dyDescent="0.2">
      <c r="B18" s="10"/>
      <c r="E18" s="10"/>
    </row>
    <row r="19" spans="2:5" x14ac:dyDescent="0.2">
      <c r="B19" s="10"/>
      <c r="E19" s="10"/>
    </row>
    <row r="20" spans="2:5" x14ac:dyDescent="0.2">
      <c r="B20" s="10"/>
      <c r="E20" s="10"/>
    </row>
    <row r="21" spans="2:5" ht="15.75" customHeight="1" x14ac:dyDescent="0.2">
      <c r="B21" s="10"/>
      <c r="E21" s="10"/>
    </row>
    <row r="22" spans="2:5" ht="15.75" customHeight="1" x14ac:dyDescent="0.2">
      <c r="B22" s="10"/>
      <c r="E22" s="10"/>
    </row>
    <row r="23" spans="2:5" ht="15.75" customHeight="1" x14ac:dyDescent="0.2">
      <c r="B23" s="10"/>
      <c r="E23" s="10"/>
    </row>
    <row r="24" spans="2:5" ht="15.75" customHeight="1" x14ac:dyDescent="0.2">
      <c r="B24" s="10"/>
      <c r="E24" s="10"/>
    </row>
    <row r="25" spans="2:5" ht="15.75" customHeight="1" x14ac:dyDescent="0.2">
      <c r="B25" s="10"/>
      <c r="E25" s="10"/>
    </row>
    <row r="26" spans="2:5" ht="15.75" customHeight="1" x14ac:dyDescent="0.2">
      <c r="B26" s="10"/>
      <c r="E26" s="10"/>
    </row>
    <row r="27" spans="2:5" ht="15.75" customHeight="1" x14ac:dyDescent="0.2">
      <c r="B27" s="10"/>
      <c r="E27" s="10"/>
    </row>
    <row r="28" spans="2:5" ht="15.75" customHeight="1" x14ac:dyDescent="0.2">
      <c r="B28" s="10"/>
      <c r="E28" s="10"/>
    </row>
    <row r="29" spans="2:5" ht="15.75" customHeight="1" x14ac:dyDescent="0.2">
      <c r="B29" s="10"/>
      <c r="E29" s="10"/>
    </row>
    <row r="30" spans="2:5" ht="15.75" customHeight="1" x14ac:dyDescent="0.2">
      <c r="B30" s="10"/>
      <c r="E30" s="10"/>
    </row>
    <row r="31" spans="2:5" ht="15.75" customHeight="1" x14ac:dyDescent="0.2">
      <c r="B31" s="10"/>
      <c r="E31" s="10"/>
    </row>
    <row r="32" spans="2:5" ht="15.75" customHeight="1" x14ac:dyDescent="0.2">
      <c r="B32" s="10"/>
      <c r="E32" s="10"/>
    </row>
    <row r="33" spans="2:5" ht="15.75" customHeight="1" x14ac:dyDescent="0.2">
      <c r="B33" s="10"/>
      <c r="E33" s="10"/>
    </row>
    <row r="34" spans="2:5" ht="15.75" customHeight="1" x14ac:dyDescent="0.2">
      <c r="B34" s="10"/>
      <c r="E34" s="10"/>
    </row>
    <row r="35" spans="2:5" ht="15.75" customHeight="1" x14ac:dyDescent="0.2">
      <c r="B35" s="10"/>
      <c r="E35" s="10"/>
    </row>
    <row r="36" spans="2:5" ht="15.75" customHeight="1" x14ac:dyDescent="0.2">
      <c r="B36" s="10"/>
      <c r="E36" s="10"/>
    </row>
    <row r="37" spans="2:5" ht="15.75" customHeight="1" x14ac:dyDescent="0.2">
      <c r="B37" s="10"/>
      <c r="E37" s="10"/>
    </row>
    <row r="38" spans="2:5" ht="15.75" customHeight="1" x14ac:dyDescent="0.2">
      <c r="B38" s="10"/>
      <c r="E38" s="10"/>
    </row>
    <row r="39" spans="2:5" ht="15.75" customHeight="1" x14ac:dyDescent="0.2">
      <c r="B39" s="10"/>
      <c r="E39" s="10"/>
    </row>
    <row r="40" spans="2:5" ht="15.75" customHeight="1" x14ac:dyDescent="0.2">
      <c r="B40" s="10"/>
      <c r="E40" s="10"/>
    </row>
    <row r="41" spans="2:5" ht="15.75" customHeight="1" x14ac:dyDescent="0.2">
      <c r="B41" s="10"/>
      <c r="E41" s="10"/>
    </row>
    <row r="42" spans="2:5" ht="15.75" customHeight="1" x14ac:dyDescent="0.2">
      <c r="B42" s="10"/>
      <c r="E42" s="10"/>
    </row>
    <row r="43" spans="2:5" ht="15.75" customHeight="1" x14ac:dyDescent="0.2">
      <c r="B43" s="10"/>
      <c r="E43" s="10"/>
    </row>
    <row r="44" spans="2:5" ht="15.75" customHeight="1" x14ac:dyDescent="0.2">
      <c r="B44" s="10"/>
      <c r="E44" s="10"/>
    </row>
    <row r="45" spans="2:5" ht="15.75" customHeight="1" x14ac:dyDescent="0.2">
      <c r="B45" s="10"/>
      <c r="E45" s="10"/>
    </row>
    <row r="46" spans="2:5" ht="15.75" customHeight="1" x14ac:dyDescent="0.2">
      <c r="B46" s="10"/>
      <c r="E46" s="10"/>
    </row>
    <row r="47" spans="2:5" ht="15.75" customHeight="1" x14ac:dyDescent="0.2">
      <c r="B47" s="10"/>
      <c r="E47" s="10"/>
    </row>
    <row r="48" spans="2:5" ht="15.75" customHeight="1" x14ac:dyDescent="0.2">
      <c r="B48" s="10"/>
      <c r="E48" s="10"/>
    </row>
    <row r="49" spans="2:5" ht="15.75" customHeight="1" x14ac:dyDescent="0.2">
      <c r="B49" s="10"/>
      <c r="E49" s="10"/>
    </row>
    <row r="50" spans="2:5" ht="15.75" customHeight="1" x14ac:dyDescent="0.2">
      <c r="B50" s="10"/>
      <c r="E50" s="10"/>
    </row>
    <row r="51" spans="2:5" ht="15.75" customHeight="1" x14ac:dyDescent="0.2">
      <c r="B51" s="10"/>
      <c r="E51" s="10"/>
    </row>
    <row r="52" spans="2:5" ht="15.75" customHeight="1" x14ac:dyDescent="0.2">
      <c r="B52" s="10"/>
      <c r="E52" s="10"/>
    </row>
    <row r="53" spans="2:5" ht="15.75" customHeight="1" x14ac:dyDescent="0.2">
      <c r="B53" s="10"/>
      <c r="E53" s="10"/>
    </row>
    <row r="54" spans="2:5" ht="15.75" customHeight="1" x14ac:dyDescent="0.2">
      <c r="B54" s="10"/>
      <c r="E54" s="10"/>
    </row>
    <row r="55" spans="2:5" ht="15.75" customHeight="1" x14ac:dyDescent="0.2">
      <c r="B55" s="10"/>
      <c r="E55" s="10"/>
    </row>
    <row r="56" spans="2:5" ht="15.75" customHeight="1" x14ac:dyDescent="0.2">
      <c r="B56" s="10"/>
      <c r="E56" s="10"/>
    </row>
    <row r="57" spans="2:5" ht="15.75" customHeight="1" x14ac:dyDescent="0.2">
      <c r="B57" s="10"/>
      <c r="E57" s="10"/>
    </row>
    <row r="58" spans="2:5" ht="15.75" customHeight="1" x14ac:dyDescent="0.2">
      <c r="B58" s="10"/>
      <c r="E58" s="10"/>
    </row>
    <row r="59" spans="2:5" ht="15.75" customHeight="1" x14ac:dyDescent="0.2">
      <c r="B59" s="10"/>
      <c r="E59" s="10"/>
    </row>
    <row r="60" spans="2:5" ht="15.75" customHeight="1" x14ac:dyDescent="0.2">
      <c r="B60" s="10"/>
      <c r="E60" s="10"/>
    </row>
    <row r="61" spans="2:5" ht="15.75" customHeight="1" x14ac:dyDescent="0.2">
      <c r="B61" s="10"/>
      <c r="E61" s="10"/>
    </row>
    <row r="62" spans="2:5" ht="15.75" customHeight="1" x14ac:dyDescent="0.2">
      <c r="B62" s="10"/>
      <c r="E62" s="10"/>
    </row>
    <row r="63" spans="2:5" ht="15.75" customHeight="1" x14ac:dyDescent="0.2">
      <c r="B63" s="10"/>
      <c r="E63" s="10"/>
    </row>
    <row r="64" spans="2:5" ht="15.75" customHeight="1" x14ac:dyDescent="0.2">
      <c r="B64" s="10"/>
      <c r="E64" s="10"/>
    </row>
    <row r="65" spans="2:5" ht="15.75" customHeight="1" x14ac:dyDescent="0.2">
      <c r="B65" s="10"/>
      <c r="E65" s="10"/>
    </row>
    <row r="66" spans="2:5" ht="15.75" customHeight="1" x14ac:dyDescent="0.2">
      <c r="B66" s="10"/>
      <c r="E66" s="10"/>
    </row>
    <row r="67" spans="2:5" ht="15.75" customHeight="1" x14ac:dyDescent="0.2">
      <c r="B67" s="10"/>
      <c r="E67" s="10"/>
    </row>
    <row r="68" spans="2:5" ht="15.75" customHeight="1" x14ac:dyDescent="0.2">
      <c r="B68" s="10"/>
      <c r="E68" s="10"/>
    </row>
    <row r="69" spans="2:5" ht="15.75" customHeight="1" x14ac:dyDescent="0.2">
      <c r="B69" s="10"/>
      <c r="E69" s="10"/>
    </row>
    <row r="70" spans="2:5" ht="15.75" customHeight="1" x14ac:dyDescent="0.2">
      <c r="B70" s="10"/>
      <c r="E70" s="10"/>
    </row>
    <row r="71" spans="2:5" ht="15.75" customHeight="1" x14ac:dyDescent="0.2">
      <c r="B71" s="10"/>
      <c r="E71" s="10"/>
    </row>
    <row r="72" spans="2:5" ht="15.75" customHeight="1" x14ac:dyDescent="0.2">
      <c r="B72" s="10"/>
      <c r="E72" s="10"/>
    </row>
    <row r="73" spans="2:5" ht="15.75" customHeight="1" x14ac:dyDescent="0.2">
      <c r="B73" s="10"/>
      <c r="E73" s="10"/>
    </row>
    <row r="74" spans="2:5" ht="15.75" customHeight="1" x14ac:dyDescent="0.2">
      <c r="B74" s="10"/>
      <c r="E74" s="10"/>
    </row>
    <row r="75" spans="2:5" ht="15.75" customHeight="1" x14ac:dyDescent="0.2">
      <c r="B75" s="10"/>
      <c r="E75" s="10"/>
    </row>
    <row r="76" spans="2:5" ht="15.75" customHeight="1" x14ac:dyDescent="0.2">
      <c r="B76" s="10"/>
      <c r="E76" s="10"/>
    </row>
    <row r="77" spans="2:5" ht="15.75" customHeight="1" x14ac:dyDescent="0.2">
      <c r="B77" s="10"/>
      <c r="E77" s="10"/>
    </row>
    <row r="78" spans="2:5" ht="15.75" customHeight="1" x14ac:dyDescent="0.2">
      <c r="B78" s="10"/>
      <c r="E78" s="10"/>
    </row>
    <row r="79" spans="2:5" ht="15.75" customHeight="1" x14ac:dyDescent="0.2">
      <c r="B79" s="10"/>
      <c r="E79" s="10"/>
    </row>
    <row r="80" spans="2:5" ht="15.75" customHeight="1" x14ac:dyDescent="0.2">
      <c r="B80" s="10"/>
      <c r="E80" s="10"/>
    </row>
    <row r="81" spans="2:5" ht="15.75" customHeight="1" x14ac:dyDescent="0.2">
      <c r="B81" s="10"/>
      <c r="E81" s="10"/>
    </row>
    <row r="82" spans="2:5" ht="15.75" customHeight="1" x14ac:dyDescent="0.2">
      <c r="B82" s="10"/>
      <c r="E82" s="10"/>
    </row>
    <row r="83" spans="2:5" ht="15.75" customHeight="1" x14ac:dyDescent="0.2">
      <c r="B83" s="10"/>
      <c r="E83" s="10"/>
    </row>
    <row r="84" spans="2:5" ht="15.75" customHeight="1" x14ac:dyDescent="0.2">
      <c r="B84" s="10"/>
      <c r="E84" s="10"/>
    </row>
    <row r="85" spans="2:5" ht="15.75" customHeight="1" x14ac:dyDescent="0.2">
      <c r="B85" s="10"/>
      <c r="E85" s="10"/>
    </row>
    <row r="86" spans="2:5" ht="15.75" customHeight="1" x14ac:dyDescent="0.2">
      <c r="B86" s="10"/>
      <c r="E86" s="10"/>
    </row>
    <row r="87" spans="2:5" ht="15.75" customHeight="1" x14ac:dyDescent="0.2">
      <c r="B87" s="10"/>
      <c r="E87" s="10"/>
    </row>
    <row r="88" spans="2:5" ht="15.75" customHeight="1" x14ac:dyDescent="0.2">
      <c r="B88" s="10"/>
      <c r="E88" s="10"/>
    </row>
    <row r="89" spans="2:5" ht="15.75" customHeight="1" x14ac:dyDescent="0.2">
      <c r="B89" s="10"/>
      <c r="E89" s="10"/>
    </row>
    <row r="90" spans="2:5" ht="15.75" customHeight="1" x14ac:dyDescent="0.2">
      <c r="B90" s="10"/>
      <c r="E90" s="10"/>
    </row>
    <row r="91" spans="2:5" ht="15.75" customHeight="1" x14ac:dyDescent="0.2">
      <c r="B91" s="10"/>
      <c r="E91" s="10"/>
    </row>
    <row r="92" spans="2:5" ht="15.75" customHeight="1" x14ac:dyDescent="0.2">
      <c r="B92" s="10"/>
      <c r="E92" s="10"/>
    </row>
    <row r="93" spans="2:5" ht="15.75" customHeight="1" x14ac:dyDescent="0.2">
      <c r="B93" s="10"/>
      <c r="E93" s="10"/>
    </row>
    <row r="94" spans="2:5" ht="15.75" customHeight="1" x14ac:dyDescent="0.2">
      <c r="B94" s="10"/>
      <c r="E94" s="10"/>
    </row>
    <row r="95" spans="2:5" ht="15.75" customHeight="1" x14ac:dyDescent="0.2">
      <c r="B95" s="10"/>
      <c r="E95" s="10"/>
    </row>
    <row r="96" spans="2:5" ht="15.75" customHeight="1" x14ac:dyDescent="0.2">
      <c r="B96" s="10"/>
      <c r="E96" s="10"/>
    </row>
    <row r="97" spans="2:5" ht="15.75" customHeight="1" x14ac:dyDescent="0.2">
      <c r="B97" s="10"/>
      <c r="E97" s="10"/>
    </row>
    <row r="98" spans="2:5" ht="15.75" customHeight="1" x14ac:dyDescent="0.2">
      <c r="B98" s="10"/>
      <c r="E98" s="10"/>
    </row>
    <row r="99" spans="2:5" ht="15.75" customHeight="1" x14ac:dyDescent="0.2">
      <c r="B99" s="10"/>
      <c r="E99" s="10"/>
    </row>
    <row r="100" spans="2:5" ht="15.75" customHeight="1" x14ac:dyDescent="0.2">
      <c r="B100" s="10"/>
      <c r="E100" s="10"/>
    </row>
    <row r="101" spans="2:5" ht="15.75" customHeight="1" x14ac:dyDescent="0.2">
      <c r="B101" s="10"/>
      <c r="E101" s="10"/>
    </row>
    <row r="102" spans="2:5" ht="15.75" customHeight="1" x14ac:dyDescent="0.2">
      <c r="B102" s="10"/>
      <c r="E102" s="10"/>
    </row>
    <row r="103" spans="2:5" ht="15.75" customHeight="1" x14ac:dyDescent="0.2">
      <c r="B103" s="10"/>
      <c r="E103" s="10"/>
    </row>
    <row r="104" spans="2:5" ht="15.75" customHeight="1" x14ac:dyDescent="0.2">
      <c r="B104" s="10"/>
      <c r="E104" s="10"/>
    </row>
    <row r="105" spans="2:5" ht="15.75" customHeight="1" x14ac:dyDescent="0.2">
      <c r="B105" s="10"/>
      <c r="E105" s="10"/>
    </row>
    <row r="106" spans="2:5" ht="15.75" customHeight="1" x14ac:dyDescent="0.2">
      <c r="B106" s="10"/>
      <c r="E106" s="10"/>
    </row>
    <row r="107" spans="2:5" ht="15.75" customHeight="1" x14ac:dyDescent="0.2">
      <c r="B107" s="10"/>
      <c r="E107" s="10"/>
    </row>
    <row r="108" spans="2:5" ht="15.75" customHeight="1" x14ac:dyDescent="0.2">
      <c r="B108" s="10"/>
      <c r="E108" s="10"/>
    </row>
    <row r="109" spans="2:5" ht="15.75" customHeight="1" x14ac:dyDescent="0.2">
      <c r="B109" s="10"/>
      <c r="E109" s="10"/>
    </row>
    <row r="110" spans="2:5" ht="15.75" customHeight="1" x14ac:dyDescent="0.2">
      <c r="B110" s="10"/>
      <c r="E110" s="10"/>
    </row>
    <row r="111" spans="2:5" ht="15.75" customHeight="1" x14ac:dyDescent="0.2">
      <c r="B111" s="10"/>
      <c r="E111" s="10"/>
    </row>
    <row r="112" spans="2:5" ht="15.75" customHeight="1" x14ac:dyDescent="0.2">
      <c r="B112" s="10"/>
      <c r="E112" s="10"/>
    </row>
    <row r="113" spans="2:5" ht="15.75" customHeight="1" x14ac:dyDescent="0.2">
      <c r="B113" s="10"/>
      <c r="E113" s="10"/>
    </row>
    <row r="114" spans="2:5" ht="15.75" customHeight="1" x14ac:dyDescent="0.2">
      <c r="B114" s="10"/>
      <c r="E114" s="10"/>
    </row>
    <row r="115" spans="2:5" ht="15.75" customHeight="1" x14ac:dyDescent="0.2">
      <c r="B115" s="10"/>
      <c r="E115" s="10"/>
    </row>
    <row r="116" spans="2:5" ht="15.75" customHeight="1" x14ac:dyDescent="0.2">
      <c r="B116" s="10"/>
      <c r="E116" s="10"/>
    </row>
    <row r="117" spans="2:5" ht="15.75" customHeight="1" x14ac:dyDescent="0.2">
      <c r="B117" s="10"/>
      <c r="E117" s="10"/>
    </row>
    <row r="118" spans="2:5" ht="15.75" customHeight="1" x14ac:dyDescent="0.2">
      <c r="B118" s="10"/>
      <c r="E118" s="10"/>
    </row>
    <row r="119" spans="2:5" ht="15.75" customHeight="1" x14ac:dyDescent="0.2">
      <c r="B119" s="10"/>
      <c r="E119" s="10"/>
    </row>
    <row r="120" spans="2:5" ht="15.75" customHeight="1" x14ac:dyDescent="0.2">
      <c r="B120" s="10"/>
      <c r="E120" s="10"/>
    </row>
    <row r="121" spans="2:5" ht="15.75" customHeight="1" x14ac:dyDescent="0.2">
      <c r="B121" s="10"/>
      <c r="E121" s="10"/>
    </row>
    <row r="122" spans="2:5" ht="15.75" customHeight="1" x14ac:dyDescent="0.2">
      <c r="B122" s="10"/>
      <c r="E122" s="10"/>
    </row>
    <row r="123" spans="2:5" ht="15.75" customHeight="1" x14ac:dyDescent="0.2">
      <c r="B123" s="10"/>
      <c r="E123" s="10"/>
    </row>
    <row r="124" spans="2:5" ht="15.75" customHeight="1" x14ac:dyDescent="0.2">
      <c r="B124" s="10"/>
      <c r="E124" s="10"/>
    </row>
    <row r="125" spans="2:5" ht="15.75" customHeight="1" x14ac:dyDescent="0.2">
      <c r="B125" s="10"/>
      <c r="E125" s="10"/>
    </row>
    <row r="126" spans="2:5" ht="15.75" customHeight="1" x14ac:dyDescent="0.2">
      <c r="B126" s="10"/>
      <c r="E126" s="10"/>
    </row>
    <row r="127" spans="2:5" ht="15.75" customHeight="1" x14ac:dyDescent="0.2">
      <c r="B127" s="10"/>
      <c r="E127" s="10"/>
    </row>
    <row r="128" spans="2:5" ht="15.75" customHeight="1" x14ac:dyDescent="0.2">
      <c r="B128" s="10"/>
      <c r="E128" s="10"/>
    </row>
    <row r="129" spans="2:5" ht="15.75" customHeight="1" x14ac:dyDescent="0.2">
      <c r="B129" s="10"/>
      <c r="E129" s="10"/>
    </row>
    <row r="130" spans="2:5" ht="15.75" customHeight="1" x14ac:dyDescent="0.2">
      <c r="B130" s="10"/>
      <c r="E130" s="10"/>
    </row>
    <row r="131" spans="2:5" ht="15.75" customHeight="1" x14ac:dyDescent="0.2">
      <c r="B131" s="10"/>
      <c r="E131" s="10"/>
    </row>
    <row r="132" spans="2:5" ht="15.75" customHeight="1" x14ac:dyDescent="0.2">
      <c r="B132" s="10"/>
      <c r="E132" s="10"/>
    </row>
    <row r="133" spans="2:5" ht="15.75" customHeight="1" x14ac:dyDescent="0.2">
      <c r="B133" s="10"/>
      <c r="E133" s="10"/>
    </row>
    <row r="134" spans="2:5" ht="15.75" customHeight="1" x14ac:dyDescent="0.2">
      <c r="B134" s="10"/>
      <c r="E134" s="10"/>
    </row>
    <row r="135" spans="2:5" ht="15.75" customHeight="1" x14ac:dyDescent="0.2">
      <c r="B135" s="10"/>
      <c r="E135" s="10"/>
    </row>
    <row r="136" spans="2:5" ht="15.75" customHeight="1" x14ac:dyDescent="0.2">
      <c r="B136" s="10"/>
      <c r="E136" s="10"/>
    </row>
    <row r="137" spans="2:5" ht="15.75" customHeight="1" x14ac:dyDescent="0.2">
      <c r="B137" s="10"/>
      <c r="E137" s="10"/>
    </row>
    <row r="138" spans="2:5" ht="15.75" customHeight="1" x14ac:dyDescent="0.2">
      <c r="B138" s="10"/>
      <c r="E138" s="10"/>
    </row>
    <row r="139" spans="2:5" ht="15.75" customHeight="1" x14ac:dyDescent="0.2">
      <c r="B139" s="10"/>
      <c r="E139" s="10"/>
    </row>
    <row r="140" spans="2:5" ht="15.75" customHeight="1" x14ac:dyDescent="0.2">
      <c r="B140" s="10"/>
      <c r="E140" s="10"/>
    </row>
    <row r="141" spans="2:5" ht="15.75" customHeight="1" x14ac:dyDescent="0.2">
      <c r="B141" s="10"/>
      <c r="E141" s="10"/>
    </row>
    <row r="142" spans="2:5" ht="15.75" customHeight="1" x14ac:dyDescent="0.2">
      <c r="B142" s="10"/>
      <c r="E142" s="10"/>
    </row>
    <row r="143" spans="2:5" ht="15.75" customHeight="1" x14ac:dyDescent="0.2">
      <c r="B143" s="10"/>
      <c r="E143" s="10"/>
    </row>
    <row r="144" spans="2:5" ht="15.75" customHeight="1" x14ac:dyDescent="0.2">
      <c r="B144" s="10"/>
      <c r="E144" s="10"/>
    </row>
    <row r="145" spans="2:5" ht="15.75" customHeight="1" x14ac:dyDescent="0.2">
      <c r="B145" s="10"/>
      <c r="E145" s="10"/>
    </row>
    <row r="146" spans="2:5" ht="15.75" customHeight="1" x14ac:dyDescent="0.2">
      <c r="B146" s="10"/>
      <c r="E146" s="10"/>
    </row>
    <row r="147" spans="2:5" ht="15.75" customHeight="1" x14ac:dyDescent="0.2">
      <c r="B147" s="10"/>
      <c r="E147" s="10"/>
    </row>
    <row r="148" spans="2:5" ht="15.75" customHeight="1" x14ac:dyDescent="0.2">
      <c r="B148" s="10"/>
      <c r="E148" s="10"/>
    </row>
    <row r="149" spans="2:5" ht="15.75" customHeight="1" x14ac:dyDescent="0.2">
      <c r="B149" s="10"/>
      <c r="E149" s="10"/>
    </row>
    <row r="150" spans="2:5" ht="15.75" customHeight="1" x14ac:dyDescent="0.2">
      <c r="B150" s="10"/>
      <c r="E150" s="10"/>
    </row>
    <row r="151" spans="2:5" ht="15.75" customHeight="1" x14ac:dyDescent="0.2">
      <c r="B151" s="10"/>
      <c r="E151" s="10"/>
    </row>
    <row r="152" spans="2:5" ht="15.75" customHeight="1" x14ac:dyDescent="0.2">
      <c r="B152" s="10"/>
      <c r="E152" s="10"/>
    </row>
    <row r="153" spans="2:5" ht="15.75" customHeight="1" x14ac:dyDescent="0.2">
      <c r="B153" s="10"/>
      <c r="E153" s="10"/>
    </row>
    <row r="154" spans="2:5" ht="15.75" customHeight="1" x14ac:dyDescent="0.2">
      <c r="B154" s="10"/>
      <c r="E154" s="10"/>
    </row>
    <row r="155" spans="2:5" ht="15.75" customHeight="1" x14ac:dyDescent="0.2">
      <c r="B155" s="10"/>
      <c r="E155" s="10"/>
    </row>
    <row r="156" spans="2:5" ht="15.75" customHeight="1" x14ac:dyDescent="0.2">
      <c r="B156" s="10"/>
      <c r="E156" s="10"/>
    </row>
    <row r="157" spans="2:5" ht="15.75" customHeight="1" x14ac:dyDescent="0.2">
      <c r="B157" s="10"/>
      <c r="E157" s="10"/>
    </row>
    <row r="158" spans="2:5" ht="15.75" customHeight="1" x14ac:dyDescent="0.2">
      <c r="B158" s="10"/>
      <c r="E158" s="10"/>
    </row>
    <row r="159" spans="2:5" ht="15.75" customHeight="1" x14ac:dyDescent="0.2">
      <c r="B159" s="10"/>
      <c r="E159" s="10"/>
    </row>
    <row r="160" spans="2:5" ht="15.75" customHeight="1" x14ac:dyDescent="0.2">
      <c r="B160" s="10"/>
      <c r="E160" s="10"/>
    </row>
    <row r="161" spans="2:5" ht="15.75" customHeight="1" x14ac:dyDescent="0.2">
      <c r="B161" s="10"/>
      <c r="E161" s="10"/>
    </row>
    <row r="162" spans="2:5" ht="15.75" customHeight="1" x14ac:dyDescent="0.2">
      <c r="B162" s="10"/>
      <c r="E162" s="10"/>
    </row>
    <row r="163" spans="2:5" ht="15.75" customHeight="1" x14ac:dyDescent="0.2">
      <c r="B163" s="10"/>
      <c r="E163" s="10"/>
    </row>
    <row r="164" spans="2:5" ht="15.75" customHeight="1" x14ac:dyDescent="0.2">
      <c r="B164" s="10"/>
      <c r="E164" s="10"/>
    </row>
    <row r="165" spans="2:5" ht="15.75" customHeight="1" x14ac:dyDescent="0.2">
      <c r="B165" s="10"/>
      <c r="E165" s="10"/>
    </row>
    <row r="166" spans="2:5" ht="15.75" customHeight="1" x14ac:dyDescent="0.2">
      <c r="B166" s="10"/>
      <c r="E166" s="10"/>
    </row>
    <row r="167" spans="2:5" ht="15.75" customHeight="1" x14ac:dyDescent="0.2">
      <c r="B167" s="10"/>
      <c r="E167" s="10"/>
    </row>
    <row r="168" spans="2:5" ht="15.75" customHeight="1" x14ac:dyDescent="0.2">
      <c r="B168" s="10"/>
      <c r="E168" s="10"/>
    </row>
    <row r="169" spans="2:5" ht="15.75" customHeight="1" x14ac:dyDescent="0.2">
      <c r="B169" s="10"/>
      <c r="E169" s="10"/>
    </row>
    <row r="170" spans="2:5" ht="15.75" customHeight="1" x14ac:dyDescent="0.2">
      <c r="B170" s="10"/>
      <c r="E170" s="10"/>
    </row>
    <row r="171" spans="2:5" ht="15.75" customHeight="1" x14ac:dyDescent="0.2">
      <c r="B171" s="10"/>
      <c r="E171" s="10"/>
    </row>
    <row r="172" spans="2:5" ht="15.75" customHeight="1" x14ac:dyDescent="0.2">
      <c r="B172" s="10"/>
      <c r="E172" s="10"/>
    </row>
    <row r="173" spans="2:5" ht="15.75" customHeight="1" x14ac:dyDescent="0.2">
      <c r="B173" s="10"/>
      <c r="E173" s="10"/>
    </row>
    <row r="174" spans="2:5" ht="15.75" customHeight="1" x14ac:dyDescent="0.2">
      <c r="B174" s="10"/>
      <c r="E174" s="10"/>
    </row>
    <row r="175" spans="2:5" ht="15.75" customHeight="1" x14ac:dyDescent="0.2">
      <c r="B175" s="10"/>
      <c r="E175" s="10"/>
    </row>
    <row r="176" spans="2:5" ht="15.75" customHeight="1" x14ac:dyDescent="0.2">
      <c r="B176" s="10"/>
      <c r="E176" s="10"/>
    </row>
    <row r="177" spans="2:5" ht="15.75" customHeight="1" x14ac:dyDescent="0.2">
      <c r="B177" s="10"/>
      <c r="E177" s="10"/>
    </row>
    <row r="178" spans="2:5" ht="15.75" customHeight="1" x14ac:dyDescent="0.2">
      <c r="B178" s="10"/>
      <c r="E178" s="10"/>
    </row>
    <row r="179" spans="2:5" ht="15.75" customHeight="1" x14ac:dyDescent="0.2">
      <c r="B179" s="10"/>
      <c r="E179" s="10"/>
    </row>
    <row r="180" spans="2:5" ht="15.75" customHeight="1" x14ac:dyDescent="0.2">
      <c r="B180" s="10"/>
      <c r="E180" s="10"/>
    </row>
    <row r="181" spans="2:5" ht="15.75" customHeight="1" x14ac:dyDescent="0.2">
      <c r="B181" s="10"/>
      <c r="E181" s="10"/>
    </row>
    <row r="182" spans="2:5" ht="15.75" customHeight="1" x14ac:dyDescent="0.2">
      <c r="B182" s="10"/>
      <c r="E182" s="10"/>
    </row>
    <row r="183" spans="2:5" ht="15.75" customHeight="1" x14ac:dyDescent="0.2">
      <c r="B183" s="10"/>
      <c r="E183" s="10"/>
    </row>
    <row r="184" spans="2:5" ht="15.75" customHeight="1" x14ac:dyDescent="0.2">
      <c r="B184" s="10"/>
      <c r="E184" s="10"/>
    </row>
    <row r="185" spans="2:5" ht="15.75" customHeight="1" x14ac:dyDescent="0.2">
      <c r="B185" s="10"/>
      <c r="E185" s="10"/>
    </row>
    <row r="186" spans="2:5" ht="15.75" customHeight="1" x14ac:dyDescent="0.2">
      <c r="B186" s="10"/>
      <c r="E186" s="10"/>
    </row>
    <row r="187" spans="2:5" ht="15.75" customHeight="1" x14ac:dyDescent="0.2">
      <c r="B187" s="10"/>
      <c r="E187" s="10"/>
    </row>
    <row r="188" spans="2:5" ht="15.75" customHeight="1" x14ac:dyDescent="0.2">
      <c r="B188" s="10"/>
      <c r="E188" s="10"/>
    </row>
    <row r="189" spans="2:5" ht="15.75" customHeight="1" x14ac:dyDescent="0.2">
      <c r="B189" s="10"/>
      <c r="E189" s="10"/>
    </row>
    <row r="190" spans="2:5" ht="15.75" customHeight="1" x14ac:dyDescent="0.2">
      <c r="B190" s="10"/>
      <c r="E190" s="10"/>
    </row>
    <row r="191" spans="2:5" ht="15.75" customHeight="1" x14ac:dyDescent="0.2">
      <c r="B191" s="10"/>
      <c r="E191" s="10"/>
    </row>
    <row r="192" spans="2:5" ht="15.75" customHeight="1" x14ac:dyDescent="0.2">
      <c r="B192" s="10"/>
      <c r="E192" s="10"/>
    </row>
    <row r="193" spans="2:5" ht="15.75" customHeight="1" x14ac:dyDescent="0.2">
      <c r="B193" s="10"/>
      <c r="E193" s="10"/>
    </row>
    <row r="194" spans="2:5" ht="15.75" customHeight="1" x14ac:dyDescent="0.2">
      <c r="B194" s="10"/>
      <c r="E194" s="10"/>
    </row>
    <row r="195" spans="2:5" ht="15.75" customHeight="1" x14ac:dyDescent="0.2">
      <c r="B195" s="10"/>
      <c r="E195" s="10"/>
    </row>
    <row r="196" spans="2:5" ht="15.75" customHeight="1" x14ac:dyDescent="0.2">
      <c r="B196" s="10"/>
      <c r="E196" s="10"/>
    </row>
    <row r="197" spans="2:5" ht="15.75" customHeight="1" x14ac:dyDescent="0.2">
      <c r="B197" s="10"/>
      <c r="E197" s="10"/>
    </row>
    <row r="198" spans="2:5" ht="15.75" customHeight="1" x14ac:dyDescent="0.2">
      <c r="B198" s="10"/>
      <c r="E198" s="10"/>
    </row>
    <row r="199" spans="2:5" ht="15.75" customHeight="1" x14ac:dyDescent="0.2">
      <c r="B199" s="10"/>
      <c r="E199" s="10"/>
    </row>
    <row r="200" spans="2:5" ht="15.75" customHeight="1" x14ac:dyDescent="0.2">
      <c r="B200" s="10"/>
      <c r="E200" s="10"/>
    </row>
    <row r="201" spans="2:5" ht="15.75" customHeight="1" x14ac:dyDescent="0.2">
      <c r="B201" s="10"/>
      <c r="E201" s="10"/>
    </row>
    <row r="202" spans="2:5" ht="15.75" customHeight="1" x14ac:dyDescent="0.2">
      <c r="B202" s="10"/>
      <c r="E202" s="10"/>
    </row>
    <row r="203" spans="2:5" ht="15.75" customHeight="1" x14ac:dyDescent="0.2">
      <c r="B203" s="10"/>
      <c r="E203" s="10"/>
    </row>
    <row r="204" spans="2:5" ht="15.75" customHeight="1" x14ac:dyDescent="0.2">
      <c r="B204" s="10"/>
      <c r="E204" s="10"/>
    </row>
    <row r="205" spans="2:5" ht="15.75" customHeight="1" x14ac:dyDescent="0.2">
      <c r="B205" s="10"/>
      <c r="E205" s="10"/>
    </row>
    <row r="206" spans="2:5" ht="15.75" customHeight="1" x14ac:dyDescent="0.2">
      <c r="B206" s="10"/>
      <c r="E206" s="10"/>
    </row>
    <row r="207" spans="2:5" ht="15.75" customHeight="1" x14ac:dyDescent="0.2">
      <c r="B207" s="10"/>
      <c r="E207" s="10"/>
    </row>
    <row r="208" spans="2:5" ht="15.75" customHeight="1" x14ac:dyDescent="0.2">
      <c r="B208" s="10"/>
      <c r="E208" s="10"/>
    </row>
    <row r="209" spans="2:5" ht="15.75" customHeight="1" x14ac:dyDescent="0.2">
      <c r="B209" s="10"/>
      <c r="E209" s="10"/>
    </row>
    <row r="210" spans="2:5" ht="15.75" customHeight="1" x14ac:dyDescent="0.2">
      <c r="B210" s="10"/>
      <c r="E210" s="10"/>
    </row>
    <row r="211" spans="2:5" ht="15.75" customHeight="1" x14ac:dyDescent="0.2">
      <c r="B211" s="10"/>
      <c r="E211" s="10"/>
    </row>
    <row r="212" spans="2:5" ht="15.75" customHeight="1" x14ac:dyDescent="0.2">
      <c r="B212" s="10"/>
      <c r="E212" s="10"/>
    </row>
    <row r="213" spans="2:5" ht="15.75" customHeight="1" x14ac:dyDescent="0.2">
      <c r="B213" s="10"/>
      <c r="E213" s="10"/>
    </row>
    <row r="214" spans="2:5" ht="15.75" customHeight="1" x14ac:dyDescent="0.2">
      <c r="B214" s="10"/>
      <c r="E214" s="10"/>
    </row>
    <row r="215" spans="2:5" ht="15.75" customHeight="1" x14ac:dyDescent="0.2">
      <c r="B215" s="10"/>
      <c r="E215" s="10"/>
    </row>
    <row r="216" spans="2:5" ht="15.75" customHeight="1" x14ac:dyDescent="0.2">
      <c r="B216" s="10"/>
      <c r="E216" s="10"/>
    </row>
    <row r="217" spans="2:5" ht="15.75" customHeight="1" x14ac:dyDescent="0.2">
      <c r="B217" s="10"/>
      <c r="E217" s="10"/>
    </row>
    <row r="218" spans="2:5" ht="15.75" customHeight="1" x14ac:dyDescent="0.2">
      <c r="B218" s="10"/>
      <c r="E218" s="10"/>
    </row>
    <row r="219" spans="2:5" ht="15.75" customHeight="1" x14ac:dyDescent="0.2">
      <c r="B219" s="10"/>
      <c r="E219" s="10"/>
    </row>
    <row r="220" spans="2:5" ht="15.75" customHeight="1" x14ac:dyDescent="0.2">
      <c r="B220" s="10"/>
      <c r="E220" s="10"/>
    </row>
    <row r="221" spans="2:5" ht="15.75" customHeight="1" x14ac:dyDescent="0.2"/>
    <row r="222" spans="2:5" ht="15.75" customHeight="1" x14ac:dyDescent="0.2"/>
    <row r="223" spans="2:5" ht="15.75" customHeight="1" x14ac:dyDescent="0.2"/>
    <row r="224" spans="2: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/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x14ac:dyDescent="0.25">
      <c r="A1" s="33" t="s">
        <v>28</v>
      </c>
      <c r="B1" s="32"/>
      <c r="C1" s="32"/>
      <c r="D1" s="32"/>
      <c r="E1" s="32"/>
      <c r="F1" s="32"/>
      <c r="G1" s="32"/>
      <c r="H1" s="32"/>
    </row>
    <row r="2" spans="1:8" x14ac:dyDescent="0.2">
      <c r="A2" s="34" t="s">
        <v>35</v>
      </c>
      <c r="B2" s="32"/>
      <c r="C2" s="32"/>
      <c r="D2" s="32"/>
      <c r="E2" s="32"/>
      <c r="F2" s="32"/>
      <c r="G2" s="32"/>
      <c r="H2" s="32"/>
    </row>
    <row r="3" spans="1:8" x14ac:dyDescent="0.2">
      <c r="A3" s="16" t="s">
        <v>39</v>
      </c>
      <c r="B3" s="35"/>
      <c r="C3" s="32"/>
      <c r="D3" s="32"/>
      <c r="E3" s="16" t="s">
        <v>43</v>
      </c>
      <c r="F3" s="35"/>
      <c r="G3" s="32"/>
      <c r="H3" s="32"/>
    </row>
    <row r="4" spans="1:8" x14ac:dyDescent="0.2">
      <c r="A4" s="16" t="s">
        <v>44</v>
      </c>
      <c r="B4" s="35"/>
      <c r="C4" s="32"/>
      <c r="D4" s="32"/>
      <c r="E4" s="16" t="s">
        <v>45</v>
      </c>
      <c r="F4" s="35"/>
      <c r="G4" s="32"/>
      <c r="H4" s="32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x14ac:dyDescent="0.2">
      <c r="A6" s="18" t="s">
        <v>47</v>
      </c>
      <c r="B6" s="18" t="s">
        <v>48</v>
      </c>
      <c r="C6" s="18" t="s">
        <v>4</v>
      </c>
      <c r="D6" s="18" t="s">
        <v>49</v>
      </c>
      <c r="E6" s="18" t="s">
        <v>50</v>
      </c>
      <c r="F6" s="18" t="s">
        <v>51</v>
      </c>
      <c r="G6" s="18" t="s">
        <v>52</v>
      </c>
      <c r="H6" s="18" t="s">
        <v>53</v>
      </c>
    </row>
    <row r="7" spans="1:8" ht="64" x14ac:dyDescent="0.2">
      <c r="A7" s="19" t="s">
        <v>54</v>
      </c>
      <c r="B7" s="20" t="s">
        <v>55</v>
      </c>
      <c r="C7" s="21">
        <v>0.2</v>
      </c>
      <c r="D7" s="20" t="s">
        <v>58</v>
      </c>
      <c r="E7" s="20" t="s">
        <v>59</v>
      </c>
      <c r="F7" s="20" t="s">
        <v>60</v>
      </c>
      <c r="G7" s="20" t="s">
        <v>61</v>
      </c>
      <c r="H7" s="21"/>
    </row>
    <row r="8" spans="1:8" ht="48" x14ac:dyDescent="0.2">
      <c r="A8" s="19" t="s">
        <v>62</v>
      </c>
      <c r="B8" s="20" t="s">
        <v>64</v>
      </c>
      <c r="C8" s="21">
        <v>0.2</v>
      </c>
      <c r="D8" s="20" t="s">
        <v>66</v>
      </c>
      <c r="E8" s="20" t="s">
        <v>68</v>
      </c>
      <c r="F8" s="20" t="s">
        <v>70</v>
      </c>
      <c r="G8" s="20" t="s">
        <v>71</v>
      </c>
      <c r="H8" s="21"/>
    </row>
    <row r="9" spans="1:8" ht="64" x14ac:dyDescent="0.2">
      <c r="A9" s="19" t="s">
        <v>73</v>
      </c>
      <c r="B9" s="20" t="s">
        <v>75</v>
      </c>
      <c r="C9" s="21">
        <v>0.2</v>
      </c>
      <c r="D9" s="20" t="s">
        <v>76</v>
      </c>
      <c r="E9" s="20" t="s">
        <v>77</v>
      </c>
      <c r="F9" s="20" t="s">
        <v>79</v>
      </c>
      <c r="G9" s="20" t="s">
        <v>81</v>
      </c>
      <c r="H9" s="21"/>
    </row>
    <row r="10" spans="1:8" ht="64" x14ac:dyDescent="0.2">
      <c r="A10" s="19" t="s">
        <v>83</v>
      </c>
      <c r="B10" s="20" t="s">
        <v>85</v>
      </c>
      <c r="C10" s="21">
        <v>0.3</v>
      </c>
      <c r="D10" s="20" t="s">
        <v>87</v>
      </c>
      <c r="E10" s="20" t="s">
        <v>89</v>
      </c>
      <c r="F10" s="20" t="s">
        <v>90</v>
      </c>
      <c r="G10" s="20" t="s">
        <v>92</v>
      </c>
      <c r="H10" s="21"/>
    </row>
    <row r="11" spans="1:8" ht="48" x14ac:dyDescent="0.2">
      <c r="A11" s="19" t="s">
        <v>95</v>
      </c>
      <c r="B11" s="20" t="s">
        <v>97</v>
      </c>
      <c r="C11" s="21">
        <v>0.1</v>
      </c>
      <c r="D11" s="20" t="s">
        <v>98</v>
      </c>
      <c r="E11" s="20" t="s">
        <v>100</v>
      </c>
      <c r="F11" s="20" t="s">
        <v>101</v>
      </c>
      <c r="G11" s="20" t="s">
        <v>102</v>
      </c>
      <c r="H11" s="21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16" t="s">
        <v>108</v>
      </c>
      <c r="B13" s="4"/>
      <c r="C13" s="22">
        <f>ROUND(SUMPRODUCT(C7:C11,H7:H11)/3*10,2)</f>
        <v>0</v>
      </c>
      <c r="D13" s="4"/>
      <c r="E13" s="4"/>
      <c r="F13" s="4"/>
      <c r="G13" s="4"/>
      <c r="H13" s="4"/>
    </row>
    <row r="14" spans="1:8" ht="32" x14ac:dyDescent="0.2">
      <c r="A14" s="16" t="s">
        <v>114</v>
      </c>
      <c r="B14" s="4"/>
      <c r="C14" s="23" t="str">
        <f>IF(C13&gt;=3.5,"Supera","No supera")</f>
        <v>No supera</v>
      </c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36" t="s">
        <v>115</v>
      </c>
      <c r="B16" s="32"/>
      <c r="C16" s="32"/>
      <c r="D16" s="32"/>
      <c r="E16" s="32"/>
      <c r="F16" s="32"/>
      <c r="G16" s="32"/>
      <c r="H16" s="32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6:H16"/>
    <mergeCell ref="A1:H1"/>
    <mergeCell ref="A2:H2"/>
    <mergeCell ref="B3:D3"/>
    <mergeCell ref="F3:H3"/>
    <mergeCell ref="B4:D4"/>
    <mergeCell ref="F4:H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selection sqref="A1:H1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x14ac:dyDescent="0.25">
      <c r="A1" s="33" t="s">
        <v>42</v>
      </c>
      <c r="B1" s="32"/>
      <c r="C1" s="32"/>
      <c r="D1" s="32"/>
      <c r="E1" s="32"/>
      <c r="F1" s="32"/>
      <c r="G1" s="32"/>
      <c r="H1" s="32"/>
    </row>
    <row r="2" spans="1:8" x14ac:dyDescent="0.2">
      <c r="A2" s="34" t="s">
        <v>46</v>
      </c>
      <c r="B2" s="32"/>
      <c r="C2" s="32"/>
      <c r="D2" s="32"/>
      <c r="E2" s="32"/>
      <c r="F2" s="32"/>
      <c r="G2" s="32"/>
      <c r="H2" s="32"/>
    </row>
    <row r="3" spans="1:8" x14ac:dyDescent="0.2">
      <c r="A3" s="16" t="s">
        <v>39</v>
      </c>
      <c r="B3" s="35"/>
      <c r="C3" s="32"/>
      <c r="D3" s="32"/>
      <c r="E3" s="16" t="s">
        <v>43</v>
      </c>
      <c r="F3" s="35"/>
      <c r="G3" s="32"/>
      <c r="H3" s="32"/>
    </row>
    <row r="4" spans="1:8" x14ac:dyDescent="0.2">
      <c r="A4" s="16" t="s">
        <v>44</v>
      </c>
      <c r="B4" s="35"/>
      <c r="C4" s="32"/>
      <c r="D4" s="32"/>
      <c r="E4" s="16" t="s">
        <v>45</v>
      </c>
      <c r="F4" s="35"/>
      <c r="G4" s="32"/>
      <c r="H4" s="32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x14ac:dyDescent="0.2">
      <c r="A6" s="18" t="s">
        <v>47</v>
      </c>
      <c r="B6" s="18" t="s">
        <v>48</v>
      </c>
      <c r="C6" s="18" t="s">
        <v>4</v>
      </c>
      <c r="D6" s="18" t="s">
        <v>49</v>
      </c>
      <c r="E6" s="18" t="s">
        <v>50</v>
      </c>
      <c r="F6" s="18" t="s">
        <v>51</v>
      </c>
      <c r="G6" s="18" t="s">
        <v>52</v>
      </c>
      <c r="H6" s="18" t="s">
        <v>53</v>
      </c>
    </row>
    <row r="7" spans="1:8" ht="64" x14ac:dyDescent="0.2">
      <c r="A7" s="19" t="s">
        <v>56</v>
      </c>
      <c r="B7" s="20" t="s">
        <v>57</v>
      </c>
      <c r="C7" s="21">
        <v>0.25</v>
      </c>
      <c r="D7" s="20" t="s">
        <v>63</v>
      </c>
      <c r="E7" s="20" t="s">
        <v>65</v>
      </c>
      <c r="F7" s="20" t="s">
        <v>67</v>
      </c>
      <c r="G7" s="20" t="s">
        <v>69</v>
      </c>
      <c r="H7" s="21"/>
    </row>
    <row r="8" spans="1:8" ht="48" x14ac:dyDescent="0.2">
      <c r="A8" s="19" t="s">
        <v>72</v>
      </c>
      <c r="B8" s="20" t="s">
        <v>74</v>
      </c>
      <c r="C8" s="21">
        <v>0.15</v>
      </c>
      <c r="D8" s="20" t="s">
        <v>78</v>
      </c>
      <c r="E8" s="20" t="s">
        <v>80</v>
      </c>
      <c r="F8" s="20" t="s">
        <v>82</v>
      </c>
      <c r="G8" s="20" t="s">
        <v>84</v>
      </c>
      <c r="H8" s="21"/>
    </row>
    <row r="9" spans="1:8" ht="48" x14ac:dyDescent="0.2">
      <c r="A9" s="19" t="s">
        <v>86</v>
      </c>
      <c r="B9" s="20" t="s">
        <v>88</v>
      </c>
      <c r="C9" s="21">
        <v>0.25</v>
      </c>
      <c r="D9" s="20" t="s">
        <v>91</v>
      </c>
      <c r="E9" s="20" t="s">
        <v>93</v>
      </c>
      <c r="F9" s="20" t="s">
        <v>94</v>
      </c>
      <c r="G9" s="20" t="s">
        <v>96</v>
      </c>
      <c r="H9" s="21"/>
    </row>
    <row r="10" spans="1:8" ht="48" x14ac:dyDescent="0.2">
      <c r="A10" s="19" t="s">
        <v>99</v>
      </c>
      <c r="B10" s="20" t="s">
        <v>103</v>
      </c>
      <c r="C10" s="21">
        <v>0.15</v>
      </c>
      <c r="D10" s="20" t="s">
        <v>104</v>
      </c>
      <c r="E10" s="20" t="s">
        <v>105</v>
      </c>
      <c r="F10" s="20" t="s">
        <v>106</v>
      </c>
      <c r="G10" s="20" t="s">
        <v>107</v>
      </c>
      <c r="H10" s="21"/>
    </row>
    <row r="11" spans="1:8" ht="48" x14ac:dyDescent="0.2">
      <c r="A11" s="19" t="s">
        <v>26</v>
      </c>
      <c r="B11" s="20" t="s">
        <v>109</v>
      </c>
      <c r="C11" s="21">
        <v>0.2</v>
      </c>
      <c r="D11" s="20" t="s">
        <v>110</v>
      </c>
      <c r="E11" s="20" t="s">
        <v>111</v>
      </c>
      <c r="F11" s="20" t="s">
        <v>112</v>
      </c>
      <c r="G11" s="20" t="s">
        <v>113</v>
      </c>
      <c r="H11" s="21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16" t="s">
        <v>108</v>
      </c>
      <c r="B13" s="4"/>
      <c r="C13" s="22">
        <f>ROUND(SUMPRODUCT(C7:C11,H7:H11)/3*10,2)</f>
        <v>0</v>
      </c>
      <c r="D13" s="4"/>
      <c r="E13" s="4"/>
      <c r="F13" s="4"/>
      <c r="G13" s="4"/>
      <c r="H13" s="4"/>
    </row>
    <row r="14" spans="1:8" ht="32" x14ac:dyDescent="0.2">
      <c r="A14" s="16" t="s">
        <v>114</v>
      </c>
      <c r="B14" s="4"/>
      <c r="C14" s="23" t="str">
        <f>IF(C13&gt;=3.5,"Supera","No supera")</f>
        <v>No supera</v>
      </c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36" t="s">
        <v>116</v>
      </c>
      <c r="B16" s="32"/>
      <c r="C16" s="32"/>
      <c r="D16" s="32"/>
      <c r="E16" s="32"/>
      <c r="F16" s="32"/>
      <c r="G16" s="32"/>
      <c r="H16" s="32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6:H16"/>
    <mergeCell ref="A1:H1"/>
    <mergeCell ref="A2:H2"/>
    <mergeCell ref="B3:D3"/>
    <mergeCell ref="F3:H3"/>
    <mergeCell ref="B4:D4"/>
    <mergeCell ref="F4:H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A7" sqref="A7:C9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7.25" customHeight="1" x14ac:dyDescent="0.2">
      <c r="A1" s="37" t="s">
        <v>117</v>
      </c>
      <c r="B1" s="32"/>
      <c r="C1" s="32"/>
      <c r="D1" s="32"/>
      <c r="E1" s="32"/>
      <c r="F1" s="32"/>
      <c r="G1" s="32"/>
      <c r="H1" s="32"/>
    </row>
    <row r="2" spans="1:8" ht="15" customHeight="1" x14ac:dyDescent="0.2">
      <c r="A2" s="38" t="s">
        <v>118</v>
      </c>
      <c r="B2" s="32"/>
      <c r="C2" s="32"/>
      <c r="D2" s="32"/>
      <c r="E2" s="32"/>
      <c r="F2" s="32"/>
      <c r="G2" s="32"/>
      <c r="H2" s="32"/>
    </row>
    <row r="3" spans="1:8" ht="15" customHeight="1" x14ac:dyDescent="0.2">
      <c r="A3" s="9" t="s">
        <v>119</v>
      </c>
      <c r="B3" s="39"/>
      <c r="C3" s="40"/>
      <c r="D3" s="41"/>
      <c r="E3" s="9" t="s">
        <v>43</v>
      </c>
      <c r="F3" s="39"/>
      <c r="G3" s="40"/>
      <c r="H3" s="41"/>
    </row>
    <row r="4" spans="1:8" ht="15" customHeight="1" x14ac:dyDescent="0.2">
      <c r="A4" s="9" t="s">
        <v>44</v>
      </c>
      <c r="B4" s="39"/>
      <c r="C4" s="40"/>
      <c r="D4" s="41"/>
      <c r="E4" s="9" t="s">
        <v>45</v>
      </c>
      <c r="F4" s="39"/>
      <c r="G4" s="40"/>
      <c r="H4" s="41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26.25" customHeight="1" x14ac:dyDescent="0.2">
      <c r="A6" s="24" t="s">
        <v>120</v>
      </c>
      <c r="B6" s="24" t="s">
        <v>121</v>
      </c>
      <c r="C6" s="24" t="s">
        <v>4</v>
      </c>
      <c r="D6" s="24" t="s">
        <v>49</v>
      </c>
      <c r="E6" s="24" t="s">
        <v>50</v>
      </c>
      <c r="F6" s="24" t="s">
        <v>51</v>
      </c>
      <c r="G6" s="24" t="s">
        <v>52</v>
      </c>
      <c r="H6" s="24" t="s">
        <v>53</v>
      </c>
    </row>
    <row r="7" spans="1:8" ht="72" customHeight="1" x14ac:dyDescent="0.2">
      <c r="A7" s="25" t="s">
        <v>122</v>
      </c>
      <c r="B7" s="26" t="s">
        <v>123</v>
      </c>
      <c r="C7" s="27">
        <v>0.4</v>
      </c>
      <c r="D7" s="28" t="s">
        <v>124</v>
      </c>
      <c r="E7" s="28" t="s">
        <v>125</v>
      </c>
      <c r="F7" s="28" t="s">
        <v>126</v>
      </c>
      <c r="G7" s="28" t="s">
        <v>127</v>
      </c>
      <c r="H7" s="29"/>
    </row>
    <row r="8" spans="1:8" ht="72" customHeight="1" x14ac:dyDescent="0.2">
      <c r="A8" s="25" t="s">
        <v>130</v>
      </c>
      <c r="B8" s="26" t="s">
        <v>131</v>
      </c>
      <c r="C8" s="27">
        <v>0.35</v>
      </c>
      <c r="D8" s="28" t="s">
        <v>132</v>
      </c>
      <c r="E8" s="28" t="s">
        <v>134</v>
      </c>
      <c r="F8" s="28" t="s">
        <v>135</v>
      </c>
      <c r="G8" s="28" t="s">
        <v>136</v>
      </c>
      <c r="H8" s="29"/>
    </row>
    <row r="9" spans="1:8" ht="72" customHeight="1" x14ac:dyDescent="0.2">
      <c r="A9" s="25" t="s">
        <v>138</v>
      </c>
      <c r="B9" s="26" t="s">
        <v>139</v>
      </c>
      <c r="C9" s="27">
        <v>0.25</v>
      </c>
      <c r="D9" s="28" t="s">
        <v>140</v>
      </c>
      <c r="E9" s="28" t="s">
        <v>141</v>
      </c>
      <c r="F9" s="28" t="s">
        <v>143</v>
      </c>
      <c r="G9" s="28" t="s">
        <v>144</v>
      </c>
      <c r="H9" s="29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ht="15" customHeight="1" x14ac:dyDescent="0.2">
      <c r="A11" s="9" t="s">
        <v>165</v>
      </c>
      <c r="B11" s="4"/>
      <c r="C11" s="30">
        <f>ROUND(SUMPRODUCT(C7:C9,H7:H9)/3*10,2)</f>
        <v>0</v>
      </c>
      <c r="D11" s="4"/>
      <c r="E11" s="4"/>
      <c r="F11" s="4"/>
      <c r="G11" s="4"/>
      <c r="H11" s="4"/>
    </row>
    <row r="12" spans="1:8" ht="26.25" customHeight="1" x14ac:dyDescent="0.2">
      <c r="A12" s="9" t="s">
        <v>166</v>
      </c>
      <c r="B12" s="4"/>
      <c r="C12" s="30" t="str">
        <f>IF(AND(C11&gt;=3.5,H7&gt;=1),"Supera","No supera")</f>
        <v>No supera</v>
      </c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ht="30" customHeight="1" x14ac:dyDescent="0.2">
      <c r="A14" s="42" t="s">
        <v>167</v>
      </c>
      <c r="B14" s="32"/>
      <c r="C14" s="32"/>
      <c r="D14" s="32"/>
      <c r="E14" s="32"/>
      <c r="F14" s="32"/>
      <c r="G14" s="32"/>
      <c r="H14" s="32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4:H14"/>
    <mergeCell ref="A1:H1"/>
    <mergeCell ref="A2:H2"/>
    <mergeCell ref="B3:D3"/>
    <mergeCell ref="F3:H3"/>
    <mergeCell ref="B4:D4"/>
    <mergeCell ref="F4:H4"/>
  </mergeCells>
  <dataValidations count="1">
    <dataValidation type="list" allowBlank="1" sqref="H7:H9" xr:uid="{00000000-0002-0000-0400-000000000000}">
      <formula1>"0,1,2,3"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showGridLines="0" workbookViewId="0">
      <selection sqref="A1:H1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x14ac:dyDescent="0.25">
      <c r="A1" s="33" t="s">
        <v>128</v>
      </c>
      <c r="B1" s="32"/>
      <c r="C1" s="32"/>
      <c r="D1" s="32"/>
      <c r="E1" s="32"/>
      <c r="F1" s="32"/>
      <c r="G1" s="32"/>
      <c r="H1" s="32"/>
    </row>
    <row r="2" spans="1:8" x14ac:dyDescent="0.2">
      <c r="A2" s="34" t="s">
        <v>129</v>
      </c>
      <c r="B2" s="32"/>
      <c r="C2" s="32"/>
      <c r="D2" s="32"/>
      <c r="E2" s="32"/>
      <c r="F2" s="32"/>
      <c r="G2" s="32"/>
      <c r="H2" s="32"/>
    </row>
    <row r="3" spans="1:8" x14ac:dyDescent="0.2">
      <c r="A3" s="16" t="s">
        <v>39</v>
      </c>
      <c r="B3" s="35"/>
      <c r="C3" s="32"/>
      <c r="D3" s="32"/>
      <c r="E3" s="16" t="s">
        <v>43</v>
      </c>
      <c r="F3" s="35"/>
      <c r="G3" s="32"/>
      <c r="H3" s="32"/>
    </row>
    <row r="4" spans="1:8" x14ac:dyDescent="0.2">
      <c r="A4" s="16" t="s">
        <v>44</v>
      </c>
      <c r="B4" s="35"/>
      <c r="C4" s="32"/>
      <c r="D4" s="32"/>
      <c r="E4" s="16" t="s">
        <v>45</v>
      </c>
      <c r="F4" s="35"/>
      <c r="G4" s="32"/>
      <c r="H4" s="32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x14ac:dyDescent="0.2">
      <c r="A6" s="18" t="s">
        <v>47</v>
      </c>
      <c r="B6" s="18" t="s">
        <v>48</v>
      </c>
      <c r="C6" s="18" t="s">
        <v>4</v>
      </c>
      <c r="D6" s="18" t="s">
        <v>49</v>
      </c>
      <c r="E6" s="18" t="s">
        <v>50</v>
      </c>
      <c r="F6" s="18" t="s">
        <v>51</v>
      </c>
      <c r="G6" s="18" t="s">
        <v>52</v>
      </c>
      <c r="H6" s="18" t="s">
        <v>53</v>
      </c>
    </row>
    <row r="7" spans="1:8" ht="48" x14ac:dyDescent="0.2">
      <c r="A7" s="19" t="s">
        <v>133</v>
      </c>
      <c r="B7" s="20" t="s">
        <v>137</v>
      </c>
      <c r="C7" s="21">
        <v>0.35</v>
      </c>
      <c r="D7" s="20" t="s">
        <v>142</v>
      </c>
      <c r="E7" s="20" t="s">
        <v>125</v>
      </c>
      <c r="F7" s="20" t="s">
        <v>145</v>
      </c>
      <c r="G7" s="20" t="s">
        <v>146</v>
      </c>
      <c r="H7" s="21"/>
    </row>
    <row r="8" spans="1:8" ht="48" x14ac:dyDescent="0.2">
      <c r="A8" s="19" t="s">
        <v>147</v>
      </c>
      <c r="B8" s="20" t="s">
        <v>148</v>
      </c>
      <c r="C8" s="21">
        <v>0.25</v>
      </c>
      <c r="D8" s="20" t="s">
        <v>149</v>
      </c>
      <c r="E8" s="20" t="s">
        <v>150</v>
      </c>
      <c r="F8" s="20" t="s">
        <v>151</v>
      </c>
      <c r="G8" s="20" t="s">
        <v>152</v>
      </c>
      <c r="H8" s="21"/>
    </row>
    <row r="9" spans="1:8" ht="32" x14ac:dyDescent="0.2">
      <c r="A9" s="19" t="s">
        <v>153</v>
      </c>
      <c r="B9" s="20" t="s">
        <v>154</v>
      </c>
      <c r="C9" s="21">
        <v>0.2</v>
      </c>
      <c r="D9" s="20" t="s">
        <v>155</v>
      </c>
      <c r="E9" s="20" t="s">
        <v>156</v>
      </c>
      <c r="F9" s="20" t="s">
        <v>157</v>
      </c>
      <c r="G9" s="20" t="s">
        <v>158</v>
      </c>
      <c r="H9" s="21"/>
    </row>
    <row r="10" spans="1:8" ht="48" x14ac:dyDescent="0.2">
      <c r="A10" s="19" t="s">
        <v>159</v>
      </c>
      <c r="B10" s="20" t="s">
        <v>160</v>
      </c>
      <c r="C10" s="21">
        <v>0.2</v>
      </c>
      <c r="D10" s="20" t="s">
        <v>161</v>
      </c>
      <c r="E10" s="20" t="s">
        <v>162</v>
      </c>
      <c r="F10" s="20" t="s">
        <v>163</v>
      </c>
      <c r="G10" s="20" t="s">
        <v>164</v>
      </c>
      <c r="H10" s="21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16" t="s">
        <v>108</v>
      </c>
      <c r="B12" s="4"/>
      <c r="C12" s="22">
        <f>ROUND(SUMPRODUCT(C7:C10,H7:H10)/3*10,2)</f>
        <v>0</v>
      </c>
      <c r="D12" s="4"/>
      <c r="E12" s="4"/>
      <c r="F12" s="4"/>
      <c r="G12" s="4"/>
      <c r="H12" s="4"/>
    </row>
    <row r="13" spans="1:8" ht="32" x14ac:dyDescent="0.2">
      <c r="A13" s="16" t="s">
        <v>114</v>
      </c>
      <c r="B13" s="4"/>
      <c r="C13" s="23" t="str">
        <f>IF(C12&gt;=3.5,"Supera","No supera")</f>
        <v>No supera</v>
      </c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36" t="s">
        <v>116</v>
      </c>
      <c r="B15" s="32"/>
      <c r="C15" s="32"/>
      <c r="D15" s="32"/>
      <c r="E15" s="32"/>
      <c r="F15" s="32"/>
      <c r="G15" s="32"/>
      <c r="H15" s="32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5:H15"/>
    <mergeCell ref="A1:H1"/>
    <mergeCell ref="A2:H2"/>
    <mergeCell ref="B3:D3"/>
    <mergeCell ref="F3:H3"/>
    <mergeCell ref="B4:D4"/>
    <mergeCell ref="F4:H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tabSelected="1" workbookViewId="0">
      <selection activeCell="B8" sqref="B8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x14ac:dyDescent="0.25">
      <c r="A1" s="33" t="s">
        <v>168</v>
      </c>
      <c r="B1" s="32"/>
      <c r="C1" s="32"/>
      <c r="D1" s="32"/>
      <c r="E1" s="32"/>
      <c r="F1" s="32"/>
      <c r="G1" s="32"/>
      <c r="H1" s="32"/>
    </row>
    <row r="2" spans="1:8" x14ac:dyDescent="0.2">
      <c r="A2" s="34" t="s">
        <v>169</v>
      </c>
      <c r="B2" s="32"/>
      <c r="C2" s="32"/>
      <c r="D2" s="32"/>
      <c r="E2" s="32"/>
      <c r="F2" s="32"/>
      <c r="G2" s="32"/>
      <c r="H2" s="32"/>
    </row>
    <row r="3" spans="1:8" x14ac:dyDescent="0.2">
      <c r="A3" s="16" t="s">
        <v>39</v>
      </c>
      <c r="B3" s="35"/>
      <c r="C3" s="32"/>
      <c r="D3" s="32"/>
      <c r="E3" s="16" t="s">
        <v>43</v>
      </c>
      <c r="F3" s="35"/>
      <c r="G3" s="32"/>
      <c r="H3" s="32"/>
    </row>
    <row r="4" spans="1:8" x14ac:dyDescent="0.2">
      <c r="A4" s="16" t="s">
        <v>44</v>
      </c>
      <c r="B4" s="35"/>
      <c r="C4" s="32"/>
      <c r="D4" s="32"/>
      <c r="E4" s="16" t="s">
        <v>45</v>
      </c>
      <c r="F4" s="35"/>
      <c r="G4" s="32"/>
      <c r="H4" s="32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x14ac:dyDescent="0.2">
      <c r="A6" s="18" t="s">
        <v>47</v>
      </c>
      <c r="B6" s="18" t="s">
        <v>48</v>
      </c>
      <c r="C6" s="18" t="s">
        <v>4</v>
      </c>
      <c r="D6" s="18" t="s">
        <v>49</v>
      </c>
      <c r="E6" s="18" t="s">
        <v>50</v>
      </c>
      <c r="F6" s="18" t="s">
        <v>51</v>
      </c>
      <c r="G6" s="18" t="s">
        <v>52</v>
      </c>
      <c r="H6" s="18" t="s">
        <v>53</v>
      </c>
    </row>
    <row r="7" spans="1:8" ht="48" x14ac:dyDescent="0.2">
      <c r="A7" s="19" t="s">
        <v>170</v>
      </c>
      <c r="B7" s="20" t="s">
        <v>171</v>
      </c>
      <c r="C7" s="21">
        <v>0.4</v>
      </c>
      <c r="D7" s="20" t="s">
        <v>110</v>
      </c>
      <c r="E7" s="20" t="s">
        <v>111</v>
      </c>
      <c r="F7" s="20" t="s">
        <v>112</v>
      </c>
      <c r="G7" s="20" t="s">
        <v>172</v>
      </c>
      <c r="H7" s="21"/>
    </row>
    <row r="8" spans="1:8" ht="48" x14ac:dyDescent="0.2">
      <c r="A8" s="19" t="s">
        <v>173</v>
      </c>
      <c r="B8" s="20" t="s">
        <v>174</v>
      </c>
      <c r="C8" s="21">
        <v>0.35</v>
      </c>
      <c r="D8" s="20" t="s">
        <v>175</v>
      </c>
      <c r="E8" s="20" t="s">
        <v>176</v>
      </c>
      <c r="F8" s="20" t="s">
        <v>177</v>
      </c>
      <c r="G8" s="20" t="s">
        <v>178</v>
      </c>
      <c r="H8" s="21"/>
    </row>
    <row r="9" spans="1:8" ht="32" x14ac:dyDescent="0.2">
      <c r="A9" s="19" t="s">
        <v>179</v>
      </c>
      <c r="B9" s="20" t="s">
        <v>180</v>
      </c>
      <c r="C9" s="21">
        <v>0.25</v>
      </c>
      <c r="D9" s="20" t="s">
        <v>181</v>
      </c>
      <c r="E9" s="20" t="s">
        <v>182</v>
      </c>
      <c r="F9" s="20" t="s">
        <v>183</v>
      </c>
      <c r="G9" s="20" t="s">
        <v>184</v>
      </c>
      <c r="H9" s="21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16" t="s">
        <v>108</v>
      </c>
      <c r="B11" s="4"/>
      <c r="C11" s="22">
        <f>ROUND(SUMPRODUCT(C7:C9,H7:H9)/3*10,2)</f>
        <v>0</v>
      </c>
      <c r="D11" s="4"/>
      <c r="E11" s="4"/>
      <c r="F11" s="4"/>
      <c r="G11" s="4"/>
      <c r="H11" s="4"/>
    </row>
    <row r="12" spans="1:8" ht="32" x14ac:dyDescent="0.2">
      <c r="A12" s="16" t="s">
        <v>114</v>
      </c>
      <c r="B12" s="4"/>
      <c r="C12" s="23" t="str">
        <f>IF(C11&gt;=3.5,"Supera","No supera")</f>
        <v>No supera</v>
      </c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36" t="s">
        <v>116</v>
      </c>
      <c r="B14" s="32"/>
      <c r="C14" s="32"/>
      <c r="D14" s="32"/>
      <c r="E14" s="32"/>
      <c r="F14" s="32"/>
      <c r="G14" s="32"/>
      <c r="H14" s="32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4:H14"/>
    <mergeCell ref="A1:H1"/>
    <mergeCell ref="A2:H2"/>
    <mergeCell ref="B3:D3"/>
    <mergeCell ref="F3:H3"/>
    <mergeCell ref="B4:D4"/>
    <mergeCell ref="F4:H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Índice</vt:lpstr>
      <vt:lpstr>organigrama</vt:lpstr>
      <vt:lpstr>Informe</vt:lpstr>
      <vt:lpstr>Exposición y defensa</vt:lpstr>
      <vt:lpstr>Oral – proyecto</vt:lpstr>
      <vt:lpstr>Examen final – informe</vt:lpstr>
      <vt:lpstr>Examen final – 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Martínez Mayoral, Maria Asuncion</cp:lastModifiedBy>
  <dcterms:modified xsi:type="dcterms:W3CDTF">2026-09-03T17:25:48Z</dcterms:modified>
</cp:coreProperties>
</file>